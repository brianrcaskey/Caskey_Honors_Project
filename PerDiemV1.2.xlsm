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ian\Desktop\CarichnerProject\"/>
    </mc:Choice>
  </mc:AlternateContent>
  <xr:revisionPtr revIDLastSave="0" documentId="13_ncr:1_{24309AE9-228C-4F34-A72B-9FE4E390A2A9}" xr6:coauthVersionLast="45" xr6:coauthVersionMax="45" xr10:uidLastSave="{00000000-0000-0000-0000-000000000000}"/>
  <bookViews>
    <workbookView xWindow="-110" yWindow="-110" windowWidth="19420" windowHeight="10420" activeTab="1" xr2:uid="{00000000-000D-0000-FFFF-FFFF00000000}"/>
  </bookViews>
  <sheets>
    <sheet name="SplashPage" sheetId="1" r:id="rId1"/>
    <sheet name="Bus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79" i="2" l="1"/>
  <c r="K79" i="2" l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K56" i="2" s="1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K76" i="2" s="1"/>
  <c r="J77" i="2"/>
  <c r="J78" i="2"/>
  <c r="J2" i="2"/>
  <c r="L79" i="2" l="1"/>
  <c r="K4" i="2"/>
  <c r="K5" i="2"/>
  <c r="K6" i="2"/>
  <c r="K8" i="2"/>
  <c r="K9" i="2"/>
  <c r="K11" i="2"/>
  <c r="K12" i="2"/>
  <c r="K14" i="2"/>
  <c r="K15" i="2"/>
  <c r="K16" i="2"/>
  <c r="K17" i="2"/>
  <c r="K18" i="2"/>
  <c r="K19" i="2"/>
  <c r="K20" i="2"/>
  <c r="K21" i="2"/>
  <c r="K22" i="2"/>
  <c r="K24" i="2"/>
  <c r="K25" i="2"/>
  <c r="K27" i="2"/>
  <c r="K29" i="2"/>
  <c r="K30" i="2"/>
  <c r="K31" i="2"/>
  <c r="K32" i="2"/>
  <c r="K33" i="2"/>
  <c r="K34" i="2"/>
  <c r="K35" i="2"/>
  <c r="K36" i="2"/>
  <c r="K37" i="2"/>
  <c r="K39" i="2"/>
  <c r="K40" i="2"/>
  <c r="K42" i="2"/>
  <c r="K43" i="2"/>
  <c r="K45" i="2"/>
  <c r="K46" i="2"/>
  <c r="K47" i="2"/>
  <c r="K48" i="2"/>
  <c r="K49" i="2"/>
  <c r="K50" i="2"/>
  <c r="K51" i="2"/>
  <c r="K52" i="2"/>
  <c r="K53" i="2"/>
  <c r="K58" i="2"/>
  <c r="K59" i="2"/>
  <c r="K61" i="2"/>
  <c r="K62" i="2"/>
  <c r="K63" i="2"/>
  <c r="K64" i="2"/>
  <c r="K65" i="2"/>
  <c r="K66" i="2"/>
  <c r="K67" i="2"/>
  <c r="K68" i="2"/>
  <c r="K69" i="2"/>
  <c r="K71" i="2"/>
  <c r="K72" i="2"/>
  <c r="K74" i="2"/>
  <c r="K75" i="2"/>
  <c r="K77" i="2"/>
  <c r="K78" i="2"/>
  <c r="F10" i="1"/>
  <c r="G10" i="1"/>
  <c r="H10" i="1"/>
  <c r="E10" i="1"/>
  <c r="M79" i="2" l="1"/>
  <c r="N79" i="2" s="1"/>
  <c r="L39" i="2"/>
  <c r="M39" i="2" s="1"/>
  <c r="N39" i="2" s="1"/>
  <c r="L24" i="2"/>
  <c r="M24" i="2" s="1"/>
  <c r="N24" i="2" s="1"/>
  <c r="L8" i="2"/>
  <c r="M8" i="2" s="1"/>
  <c r="N8" i="2" s="1"/>
  <c r="L71" i="2"/>
  <c r="M71" i="2" s="1"/>
  <c r="N71" i="2" s="1"/>
  <c r="L68" i="2"/>
  <c r="M68" i="2" s="1"/>
  <c r="L52" i="2"/>
  <c r="M52" i="2" s="1"/>
  <c r="N52" i="2" s="1"/>
  <c r="L36" i="2"/>
  <c r="M36" i="2" s="1"/>
  <c r="L21" i="2"/>
  <c r="M21" i="2" s="1"/>
  <c r="N21" i="2" s="1"/>
  <c r="L5" i="2"/>
  <c r="M5" i="2" s="1"/>
  <c r="K73" i="2"/>
  <c r="L73" i="2" s="1"/>
  <c r="K70" i="2"/>
  <c r="L70" i="2" s="1"/>
  <c r="M70" i="2" s="1"/>
  <c r="L63" i="2"/>
  <c r="K57" i="2"/>
  <c r="K54" i="2"/>
  <c r="L47" i="2"/>
  <c r="M47" i="2" s="1"/>
  <c r="N47" i="2" s="1"/>
  <c r="K41" i="2"/>
  <c r="K38" i="2"/>
  <c r="L31" i="2"/>
  <c r="K26" i="2"/>
  <c r="L26" i="2" s="1"/>
  <c r="K23" i="2"/>
  <c r="L23" i="2" s="1"/>
  <c r="M23" i="2" s="1"/>
  <c r="L16" i="2"/>
  <c r="M16" i="2" s="1"/>
  <c r="N16" i="2" s="1"/>
  <c r="K10" i="2"/>
  <c r="L10" i="2" s="1"/>
  <c r="K7" i="2"/>
  <c r="L69" i="2"/>
  <c r="M69" i="2" s="1"/>
  <c r="N69" i="2" s="1"/>
  <c r="L66" i="2"/>
  <c r="K60" i="2"/>
  <c r="L60" i="2" s="1"/>
  <c r="M60" i="2" s="1"/>
  <c r="L53" i="2"/>
  <c r="M53" i="2" s="1"/>
  <c r="N53" i="2" s="1"/>
  <c r="L50" i="2"/>
  <c r="M50" i="2" s="1"/>
  <c r="K44" i="2"/>
  <c r="L37" i="2"/>
  <c r="M37" i="2" s="1"/>
  <c r="N37" i="2" s="1"/>
  <c r="L34" i="2"/>
  <c r="K28" i="2"/>
  <c r="L28" i="2" s="1"/>
  <c r="L22" i="2"/>
  <c r="M22" i="2" s="1"/>
  <c r="N22" i="2" s="1"/>
  <c r="L19" i="2"/>
  <c r="K13" i="2"/>
  <c r="L6" i="2"/>
  <c r="M6" i="2" s="1"/>
  <c r="N6" i="2" s="1"/>
  <c r="L75" i="2"/>
  <c r="M75" i="2" s="1"/>
  <c r="N75" i="2" s="1"/>
  <c r="L72" i="2"/>
  <c r="M72" i="2" s="1"/>
  <c r="L59" i="2"/>
  <c r="L56" i="2"/>
  <c r="L43" i="2"/>
  <c r="M43" i="2" s="1"/>
  <c r="N43" i="2" s="1"/>
  <c r="L40" i="2"/>
  <c r="M40" i="2" s="1"/>
  <c r="L25" i="2"/>
  <c r="M25" i="2" s="1"/>
  <c r="L12" i="2"/>
  <c r="L9" i="2"/>
  <c r="M9" i="2" s="1"/>
  <c r="L78" i="2"/>
  <c r="M78" i="2" s="1"/>
  <c r="L65" i="2"/>
  <c r="M65" i="2" s="1"/>
  <c r="N65" i="2" s="1"/>
  <c r="L62" i="2"/>
  <c r="M62" i="2" s="1"/>
  <c r="L49" i="2"/>
  <c r="M49" i="2" s="1"/>
  <c r="N49" i="2" s="1"/>
  <c r="L46" i="2"/>
  <c r="M46" i="2" s="1"/>
  <c r="L33" i="2"/>
  <c r="M33" i="2" s="1"/>
  <c r="N33" i="2" s="1"/>
  <c r="L30" i="2"/>
  <c r="L18" i="2"/>
  <c r="M18" i="2" s="1"/>
  <c r="N18" i="2" s="1"/>
  <c r="L15" i="2"/>
  <c r="M15" i="2" s="1"/>
  <c r="L77" i="2"/>
  <c r="M77" i="2" s="1"/>
  <c r="L74" i="2"/>
  <c r="M74" i="2" s="1"/>
  <c r="L61" i="2"/>
  <c r="M61" i="2" s="1"/>
  <c r="L58" i="2"/>
  <c r="M58" i="2" s="1"/>
  <c r="N58" i="2" s="1"/>
  <c r="L45" i="2"/>
  <c r="L42" i="2"/>
  <c r="L29" i="2"/>
  <c r="M29" i="2" s="1"/>
  <c r="N29" i="2" s="1"/>
  <c r="L27" i="2"/>
  <c r="L14" i="2"/>
  <c r="M14" i="2" s="1"/>
  <c r="N14" i="2" s="1"/>
  <c r="L11" i="2"/>
  <c r="M11" i="2" s="1"/>
  <c r="L67" i="2"/>
  <c r="M67" i="2" s="1"/>
  <c r="N67" i="2" s="1"/>
  <c r="L64" i="2"/>
  <c r="M64" i="2" s="1"/>
  <c r="L51" i="2"/>
  <c r="M51" i="2" s="1"/>
  <c r="L48" i="2"/>
  <c r="L35" i="2"/>
  <c r="M35" i="2" s="1"/>
  <c r="N35" i="2" s="1"/>
  <c r="L32" i="2"/>
  <c r="M32" i="2" s="1"/>
  <c r="L20" i="2"/>
  <c r="M20" i="2" s="1"/>
  <c r="N20" i="2" s="1"/>
  <c r="L17" i="2"/>
  <c r="L4" i="2"/>
  <c r="K2" i="2"/>
  <c r="K3" i="2"/>
  <c r="L3" i="2" s="1"/>
  <c r="L2" i="2" l="1"/>
  <c r="M2" i="2" s="1"/>
  <c r="N5" i="2"/>
  <c r="N11" i="2"/>
  <c r="N15" i="2"/>
  <c r="M28" i="2"/>
  <c r="N28" i="2" s="1"/>
  <c r="N25" i="2"/>
  <c r="M17" i="2"/>
  <c r="N17" i="2" s="1"/>
  <c r="N64" i="2"/>
  <c r="N32" i="2"/>
  <c r="N74" i="2"/>
  <c r="N78" i="2"/>
  <c r="N68" i="2"/>
  <c r="M59" i="2"/>
  <c r="N59" i="2" s="1"/>
  <c r="N62" i="2"/>
  <c r="N50" i="2"/>
  <c r="M4" i="2"/>
  <c r="N4" i="2" s="1"/>
  <c r="L7" i="2"/>
  <c r="M7" i="2" s="1"/>
  <c r="M10" i="2"/>
  <c r="N10" i="2" s="1"/>
  <c r="M34" i="2"/>
  <c r="N34" i="2" s="1"/>
  <c r="M12" i="2"/>
  <c r="N12" i="2" s="1"/>
  <c r="N9" i="2"/>
  <c r="N51" i="2"/>
  <c r="M56" i="2"/>
  <c r="N56" i="2" s="1"/>
  <c r="L13" i="2"/>
  <c r="L57" i="2"/>
  <c r="M30" i="2"/>
  <c r="N30" i="2" s="1"/>
  <c r="N60" i="2"/>
  <c r="M66" i="2"/>
  <c r="N66" i="2" s="1"/>
  <c r="N36" i="2"/>
  <c r="M63" i="2"/>
  <c r="N63" i="2" s="1"/>
  <c r="M27" i="2"/>
  <c r="N27" i="2" s="1"/>
  <c r="M19" i="2"/>
  <c r="N19" i="2" s="1"/>
  <c r="L44" i="2"/>
  <c r="N70" i="2"/>
  <c r="M45" i="2"/>
  <c r="N45" i="2" s="1"/>
  <c r="L38" i="2"/>
  <c r="M38" i="2" s="1"/>
  <c r="N40" i="2"/>
  <c r="N61" i="2"/>
  <c r="N77" i="2"/>
  <c r="M48" i="2"/>
  <c r="N48" i="2" s="1"/>
  <c r="M42" i="2"/>
  <c r="N42" i="2" s="1"/>
  <c r="N23" i="2"/>
  <c r="M73" i="2"/>
  <c r="N73" i="2" s="1"/>
  <c r="N46" i="2"/>
  <c r="M31" i="2"/>
  <c r="N31" i="2" s="1"/>
  <c r="N72" i="2"/>
  <c r="M26" i="2"/>
  <c r="N26" i="2" s="1"/>
  <c r="L76" i="2"/>
  <c r="L54" i="2"/>
  <c r="M54" i="2" s="1"/>
  <c r="L41" i="2"/>
  <c r="M3" i="2"/>
  <c r="N3" i="2" s="1"/>
  <c r="N38" i="2" l="1"/>
  <c r="M13" i="2"/>
  <c r="N13" i="2" s="1"/>
  <c r="M76" i="2"/>
  <c r="N54" i="2"/>
  <c r="M44" i="2"/>
  <c r="N44" i="2" s="1"/>
  <c r="M41" i="2"/>
  <c r="M57" i="2"/>
  <c r="N57" i="2" s="1"/>
  <c r="N7" i="2"/>
  <c r="N2" i="2"/>
  <c r="N76" i="2" l="1"/>
  <c r="N41" i="2"/>
  <c r="K55" i="2"/>
  <c r="J80" i="2"/>
  <c r="K80" i="2"/>
  <c r="L55" i="2" l="1"/>
  <c r="L80" i="2"/>
  <c r="M55" i="2" l="1"/>
  <c r="N55" i="2"/>
  <c r="M80" i="2"/>
  <c r="N80" i="2"/>
</calcChain>
</file>

<file path=xl/sharedStrings.xml><?xml version="1.0" encoding="utf-8"?>
<sst xmlns="http://schemas.openxmlformats.org/spreadsheetml/2006/main" count="35" uniqueCount="24">
  <si>
    <t>Name</t>
  </si>
  <si>
    <t>Email</t>
  </si>
  <si>
    <t>Breakfast</t>
  </si>
  <si>
    <t>Lunch</t>
  </si>
  <si>
    <t>Dinner</t>
  </si>
  <si>
    <t>Custom1</t>
  </si>
  <si>
    <t>Custom2</t>
  </si>
  <si>
    <t># $20</t>
  </si>
  <si>
    <t># $10</t>
  </si>
  <si>
    <t># $5</t>
  </si>
  <si>
    <t># $1</t>
  </si>
  <si>
    <t>Bus1</t>
  </si>
  <si>
    <t xml:space="preserve">Total = </t>
  </si>
  <si>
    <t>Meal Values ($)</t>
  </si>
  <si>
    <r>
      <t xml:space="preserve">2. Put number of breakfast, lunch, dinner, &amp; custom per diem amounts per person - </t>
    </r>
    <r>
      <rPr>
        <i/>
        <sz val="10"/>
        <color theme="1"/>
        <rFont val="Cambria"/>
        <family val="1"/>
      </rPr>
      <t xml:space="preserve">note it may be easiset to blanket the default amount per person across the sheet &amp; go back to edit individuals </t>
    </r>
  </si>
  <si>
    <r>
      <t xml:space="preserve">1. Insert names &amp; emails (optional) into respective lists of bus sheet - </t>
    </r>
    <r>
      <rPr>
        <i/>
        <sz val="10"/>
        <color theme="1"/>
        <rFont val="Cambria"/>
        <family val="1"/>
      </rPr>
      <t>note none of these cells are required for program to run</t>
    </r>
  </si>
  <si>
    <r>
      <t xml:space="preserve">3. Program will sum each bus sheet amount and insert into SplashPage table - </t>
    </r>
    <r>
      <rPr>
        <i/>
        <sz val="10"/>
        <color theme="1"/>
        <rFont val="Cambria"/>
        <family val="1"/>
      </rPr>
      <t>note DO NOT change name of 'SplashPage' sheet</t>
    </r>
  </si>
  <si>
    <t>Total ($)</t>
  </si>
  <si>
    <t>Per-Diem Sum-program V1.2</t>
  </si>
  <si>
    <t>Custom 3</t>
  </si>
  <si>
    <t>Brian</t>
  </si>
  <si>
    <t>Caskey</t>
  </si>
  <si>
    <t>brcaskey@iastate.edu</t>
  </si>
  <si>
    <t>*Final Row*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</si>
</sst>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mbria"/>
      <family val="1"/>
    </font>
    <font>
      <sz val="11"/>
      <color theme="1"/>
      <name val="Cambria"/>
      <family val="1"/>
    </font>
    <font>
      <sz val="18"/>
      <color theme="1"/>
      <name val="Cambria"/>
      <family val="1"/>
    </font>
    <font>
      <sz val="10"/>
      <color theme="1"/>
      <name val="Cambria"/>
      <family val="1"/>
    </font>
    <font>
      <i/>
      <sz val="10"/>
      <color theme="1"/>
      <name val="Cambria"/>
      <family val="1"/>
    </font>
    <font>
      <sz val="22"/>
      <color rgb="FF000000"/>
      <name val="Cambria"/>
      <family val="1"/>
    </font>
    <font>
      <sz val="11"/>
      <color theme="0"/>
      <name val="Calibri"/>
      <family val="2"/>
      <scheme val="minor"/>
    </font>
    <font>
      <sz val="14"/>
      <color theme="0"/>
      <name val="Cambria"/>
      <family val="1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6">
    <xf numFmtId="0" fontId="0" fillId="0" borderId="0" xfId="0"/>
    <xf numFmtId="0" fontId="3" fillId="0" borderId="0" xfId="0" applyFont="1"/>
    <xf numFmtId="0" fontId="3" fillId="0" borderId="1" xfId="0" applyFont="1" applyBorder="1"/>
    <xf numFmtId="0" fontId="2" fillId="2" borderId="1" xfId="0" applyFont="1" applyFill="1" applyBorder="1"/>
    <xf numFmtId="0" fontId="2" fillId="2" borderId="4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 applyBorder="1"/>
    <xf numFmtId="0" fontId="0" fillId="0" borderId="9" xfId="0" applyBorder="1"/>
    <xf numFmtId="0" fontId="0" fillId="0" borderId="8" xfId="0" applyBorder="1"/>
    <xf numFmtId="0" fontId="0" fillId="0" borderId="10" xfId="0" applyBorder="1"/>
    <xf numFmtId="0" fontId="0" fillId="0" borderId="4" xfId="0" applyBorder="1"/>
    <xf numFmtId="0" fontId="0" fillId="0" borderId="11" xfId="0" applyBorder="1"/>
    <xf numFmtId="0" fontId="2" fillId="2" borderId="5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3" fillId="5" borderId="14" xfId="0" applyFont="1" applyFill="1" applyBorder="1"/>
    <xf numFmtId="0" fontId="3" fillId="5" borderId="15" xfId="0" applyFont="1" applyFill="1" applyBorder="1"/>
    <xf numFmtId="0" fontId="3" fillId="4" borderId="13" xfId="0" applyFont="1" applyFill="1" applyBorder="1"/>
    <xf numFmtId="0" fontId="3" fillId="4" borderId="16" xfId="0" applyFont="1" applyFill="1" applyBorder="1"/>
    <xf numFmtId="0" fontId="3" fillId="5" borderId="13" xfId="0" applyFont="1" applyFill="1" applyBorder="1"/>
    <xf numFmtId="0" fontId="3" fillId="5" borderId="16" xfId="0" applyFont="1" applyFill="1" applyBorder="1"/>
    <xf numFmtId="0" fontId="3" fillId="5" borderId="17" xfId="0" applyFont="1" applyFill="1" applyBorder="1"/>
    <xf numFmtId="0" fontId="3" fillId="5" borderId="18" xfId="0" applyFont="1" applyFill="1" applyBorder="1"/>
    <xf numFmtId="0" fontId="3" fillId="0" borderId="22" xfId="0" applyFont="1" applyBorder="1"/>
    <xf numFmtId="0" fontId="3" fillId="0" borderId="23" xfId="0" applyFont="1" applyBorder="1"/>
    <xf numFmtId="0" fontId="0" fillId="6" borderId="0" xfId="0" applyFill="1" applyAlignment="1">
      <alignment wrapText="1"/>
    </xf>
    <xf numFmtId="0" fontId="0" fillId="6" borderId="0" xfId="0" applyFill="1"/>
    <xf numFmtId="0" fontId="2" fillId="2" borderId="24" xfId="0" applyFont="1" applyFill="1" applyBorder="1"/>
    <xf numFmtId="0" fontId="3" fillId="0" borderId="24" xfId="0" applyFont="1" applyBorder="1"/>
    <xf numFmtId="0" fontId="8" fillId="2" borderId="1" xfId="0" applyFont="1" applyFill="1" applyBorder="1"/>
    <xf numFmtId="0" fontId="0" fillId="6" borderId="1" xfId="0" applyFill="1" applyBorder="1"/>
    <xf numFmtId="0" fontId="2" fillId="7" borderId="8" xfId="0" applyFont="1" applyFill="1" applyBorder="1"/>
    <xf numFmtId="0" fontId="2" fillId="7" borderId="0" xfId="0" applyFont="1" applyFill="1" applyBorder="1"/>
    <xf numFmtId="0" fontId="2" fillId="7" borderId="7" xfId="0" applyFont="1" applyFill="1" applyBorder="1"/>
    <xf numFmtId="0" fontId="2" fillId="7" borderId="6" xfId="0" applyFont="1" applyFill="1" applyBorder="1"/>
    <xf numFmtId="0" fontId="3" fillId="0" borderId="25" xfId="0" applyFont="1" applyBorder="1"/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Border="1"/>
    <xf numFmtId="0" fontId="3" fillId="5" borderId="19" xfId="0" applyFont="1" applyFill="1" applyBorder="1"/>
    <xf numFmtId="0" fontId="3" fillId="4" borderId="20" xfId="0" applyFont="1" applyFill="1" applyBorder="1"/>
    <xf numFmtId="0" fontId="3" fillId="5" borderId="20" xfId="0" applyFont="1" applyFill="1" applyBorder="1"/>
    <xf numFmtId="0" fontId="3" fillId="5" borderId="21" xfId="0" applyFont="1" applyFill="1" applyBorder="1"/>
    <xf numFmtId="0" fontId="2" fillId="2" borderId="12" xfId="0" applyFont="1" applyFill="1" applyBorder="1" applyAlignment="1">
      <alignment horizontal="center" vertical="center"/>
    </xf>
    <xf numFmtId="0" fontId="0" fillId="0" borderId="26" xfId="0" applyBorder="1"/>
    <xf numFmtId="0" fontId="1" fillId="0" borderId="0" xfId="1"/>
    <xf numFmtId="0" fontId="0" fillId="0" borderId="0" xfId="0" applyFill="1" applyBorder="1"/>
    <xf numFmtId="0" fontId="9" fillId="2" borderId="12" xfId="0" applyFont="1" applyFill="1" applyBorder="1"/>
    <xf numFmtId="0" fontId="10" fillId="0" borderId="12" xfId="0" applyFont="1" applyBorder="1"/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5" fillId="0" borderId="0" xfId="0" applyFont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27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AFAF"/>
      <color rgb="FFFF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38100</xdr:rowOff>
        </xdr:from>
        <xdr:to>
          <xdr:col>7</xdr:col>
          <xdr:colOff>495300</xdr:colOff>
          <xdr:row>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Sum Bills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12700</xdr:rowOff>
        </xdr:from>
        <xdr:to>
          <xdr:col>7</xdr:col>
          <xdr:colOff>488950</xdr:colOff>
          <xdr:row>7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New Bus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brcaskey@iastate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71"/>
  <sheetViews>
    <sheetView topLeftCell="A2" zoomScale="85" zoomScaleNormal="85" workbookViewId="0">
      <selection activeCell="I9" sqref="I9"/>
    </sheetView>
  </sheetViews>
  <sheetFormatPr defaultRowHeight="14.5" x14ac:dyDescent="0.35"/>
  <cols>
    <col min="1" max="1" width="18.90625" customWidth="1"/>
    <col min="2" max="3" width="18.1796875" customWidth="1"/>
    <col min="4" max="4" width="10.6328125" customWidth="1"/>
  </cols>
  <sheetData>
    <row r="1" spans="1:31" ht="15" thickBot="1" x14ac:dyDescent="0.4">
      <c r="A1" s="51" t="s">
        <v>18</v>
      </c>
      <c r="B1" s="52"/>
      <c r="C1" s="52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</row>
    <row r="2" spans="1:31" ht="15" thickBot="1" x14ac:dyDescent="0.4">
      <c r="A2" s="52"/>
      <c r="B2" s="52"/>
      <c r="C2" s="52"/>
      <c r="D2" s="47" t="s">
        <v>13</v>
      </c>
      <c r="E2" s="4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</row>
    <row r="3" spans="1:31" ht="15" thickBot="1" x14ac:dyDescent="0.4">
      <c r="A3" s="49" t="s">
        <v>15</v>
      </c>
      <c r="B3" s="49"/>
      <c r="C3" s="50"/>
      <c r="D3" s="3" t="s">
        <v>2</v>
      </c>
      <c r="E3" s="2">
        <v>5</v>
      </c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</row>
    <row r="4" spans="1:31" ht="15" thickBot="1" x14ac:dyDescent="0.4">
      <c r="A4" s="49"/>
      <c r="B4" s="49"/>
      <c r="C4" s="50"/>
      <c r="D4" s="3" t="s">
        <v>3</v>
      </c>
      <c r="E4" s="2">
        <v>7</v>
      </c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</row>
    <row r="5" spans="1:31" ht="15" thickBot="1" x14ac:dyDescent="0.4">
      <c r="A5" s="49"/>
      <c r="B5" s="49"/>
      <c r="C5" s="50"/>
      <c r="D5" s="3" t="s">
        <v>4</v>
      </c>
      <c r="E5" s="2">
        <v>10</v>
      </c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</row>
    <row r="6" spans="1:31" ht="15" customHeight="1" thickBot="1" x14ac:dyDescent="0.4">
      <c r="A6" s="49" t="s">
        <v>14</v>
      </c>
      <c r="B6" s="49"/>
      <c r="C6" s="49"/>
      <c r="D6" s="3" t="s">
        <v>5</v>
      </c>
      <c r="E6" s="2">
        <v>10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</row>
    <row r="7" spans="1:31" ht="15" thickBot="1" x14ac:dyDescent="0.4">
      <c r="A7" s="49"/>
      <c r="B7" s="49"/>
      <c r="C7" s="49"/>
      <c r="D7" s="26" t="s">
        <v>6</v>
      </c>
      <c r="E7" s="27">
        <v>15</v>
      </c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</row>
    <row r="8" spans="1:31" ht="15" thickBot="1" x14ac:dyDescent="0.4">
      <c r="A8" s="49"/>
      <c r="B8" s="49"/>
      <c r="C8" s="49"/>
      <c r="D8" s="28" t="s">
        <v>19</v>
      </c>
      <c r="E8" s="29">
        <v>20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</row>
    <row r="9" spans="1:31" x14ac:dyDescent="0.35">
      <c r="A9" s="49" t="s">
        <v>16</v>
      </c>
      <c r="B9" s="49"/>
      <c r="C9" s="49"/>
      <c r="D9" s="30"/>
      <c r="E9" s="31" t="s">
        <v>7</v>
      </c>
      <c r="F9" s="32" t="s">
        <v>8</v>
      </c>
      <c r="G9" s="32" t="s">
        <v>9</v>
      </c>
      <c r="H9" s="33" t="s">
        <v>10</v>
      </c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</row>
    <row r="10" spans="1:31" ht="26" customHeight="1" thickBot="1" x14ac:dyDescent="0.5">
      <c r="A10" s="49"/>
      <c r="B10" s="49"/>
      <c r="C10" s="49"/>
      <c r="D10" s="45" t="s">
        <v>12</v>
      </c>
      <c r="E10" s="46">
        <f>SUM(E11:E20)</f>
        <v>3</v>
      </c>
      <c r="F10" s="46">
        <f t="shared" ref="F10:H10" si="0">SUM(F11:F20)</f>
        <v>0</v>
      </c>
      <c r="G10" s="46">
        <f t="shared" si="0"/>
        <v>1</v>
      </c>
      <c r="H10" s="46">
        <f t="shared" si="0"/>
        <v>2</v>
      </c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</row>
    <row r="11" spans="1:31" x14ac:dyDescent="0.35">
      <c r="A11" s="49"/>
      <c r="B11" s="49"/>
      <c r="C11" s="49"/>
      <c r="D11" s="8" t="s">
        <v>11</v>
      </c>
      <c r="E11" s="6">
        <v>3</v>
      </c>
      <c r="F11" s="6">
        <v>0</v>
      </c>
      <c r="G11" s="6">
        <v>1</v>
      </c>
      <c r="H11" s="7">
        <v>2</v>
      </c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</row>
    <row r="12" spans="1:31" x14ac:dyDescent="0.35">
      <c r="A12" s="24"/>
      <c r="B12" s="24"/>
      <c r="C12" s="24"/>
      <c r="D12" s="8"/>
      <c r="E12" s="6"/>
      <c r="F12" s="6"/>
      <c r="G12" s="6"/>
      <c r="H12" s="7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</row>
    <row r="13" spans="1:31" x14ac:dyDescent="0.35">
      <c r="A13" s="25"/>
      <c r="B13" s="25"/>
      <c r="C13" s="25"/>
      <c r="D13" s="8"/>
      <c r="E13" s="6"/>
      <c r="F13" s="6"/>
      <c r="G13" s="6"/>
      <c r="H13" s="7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</row>
    <row r="14" spans="1:31" x14ac:dyDescent="0.35">
      <c r="A14" s="25"/>
      <c r="B14" s="25"/>
      <c r="C14" s="25"/>
      <c r="D14" s="8"/>
      <c r="E14" s="6"/>
      <c r="F14" s="6"/>
      <c r="G14" s="6"/>
      <c r="H14" s="7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</row>
    <row r="15" spans="1:31" x14ac:dyDescent="0.35">
      <c r="A15" s="25"/>
      <c r="B15" s="25"/>
      <c r="C15" s="25"/>
      <c r="D15" s="8"/>
      <c r="E15" s="6"/>
      <c r="F15" s="6"/>
      <c r="G15" s="6"/>
      <c r="H15" s="7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</row>
    <row r="16" spans="1:31" x14ac:dyDescent="0.35">
      <c r="A16" s="25"/>
      <c r="B16" s="25"/>
      <c r="C16" s="25"/>
      <c r="D16" s="8"/>
      <c r="E16" s="6"/>
      <c r="F16" s="6"/>
      <c r="G16" s="6"/>
      <c r="H16" s="7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</row>
    <row r="17" spans="1:31" x14ac:dyDescent="0.35">
      <c r="A17" s="25"/>
      <c r="B17" s="25"/>
      <c r="C17" s="25"/>
      <c r="D17" s="8"/>
      <c r="E17" s="6"/>
      <c r="F17" s="6"/>
      <c r="G17" s="6"/>
      <c r="H17" s="7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</row>
    <row r="18" spans="1:31" x14ac:dyDescent="0.35">
      <c r="A18" s="25"/>
      <c r="B18" s="25"/>
      <c r="C18" s="25"/>
      <c r="D18" s="8"/>
      <c r="E18" s="6"/>
      <c r="F18" s="6"/>
      <c r="G18" s="6"/>
      <c r="H18" s="7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</row>
    <row r="19" spans="1:31" x14ac:dyDescent="0.35">
      <c r="A19" s="25"/>
      <c r="B19" s="25"/>
      <c r="C19" s="25"/>
      <c r="D19" s="8"/>
      <c r="E19" s="6"/>
      <c r="F19" s="6"/>
      <c r="G19" s="6"/>
      <c r="H19" s="7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</row>
    <row r="20" spans="1:31" ht="15" thickBot="1" x14ac:dyDescent="0.4">
      <c r="A20" s="25"/>
      <c r="B20" s="25"/>
      <c r="C20" s="25"/>
      <c r="D20" s="9"/>
      <c r="E20" s="10"/>
      <c r="F20" s="10"/>
      <c r="G20" s="10"/>
      <c r="H20" s="11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</row>
    <row r="21" spans="1:31" x14ac:dyDescent="0.3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</row>
    <row r="22" spans="1:31" x14ac:dyDescent="0.3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 x14ac:dyDescent="0.3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</row>
    <row r="24" spans="1:31" x14ac:dyDescent="0.3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</row>
    <row r="25" spans="1:31" x14ac:dyDescent="0.3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</row>
    <row r="26" spans="1:31" x14ac:dyDescent="0.3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</row>
    <row r="27" spans="1:31" x14ac:dyDescent="0.3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</row>
    <row r="28" spans="1:31" x14ac:dyDescent="0.3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</row>
    <row r="29" spans="1:31" x14ac:dyDescent="0.3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 x14ac:dyDescent="0.3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</row>
    <row r="31" spans="1:31" x14ac:dyDescent="0.3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</row>
    <row r="32" spans="1:31" x14ac:dyDescent="0.3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</row>
    <row r="33" spans="1:31" x14ac:dyDescent="0.3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</row>
    <row r="34" spans="1:31" x14ac:dyDescent="0.3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</row>
    <row r="35" spans="1:31" x14ac:dyDescent="0.3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</row>
    <row r="36" spans="1:31" x14ac:dyDescent="0.3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</row>
    <row r="37" spans="1:31" x14ac:dyDescent="0.3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</row>
    <row r="38" spans="1:31" x14ac:dyDescent="0.3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</row>
    <row r="39" spans="1:31" x14ac:dyDescent="0.3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</row>
    <row r="40" spans="1:31" x14ac:dyDescent="0.3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</row>
    <row r="41" spans="1:31" x14ac:dyDescent="0.3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</row>
    <row r="42" spans="1:31" x14ac:dyDescent="0.3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</row>
    <row r="43" spans="1:31" x14ac:dyDescent="0.3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</row>
    <row r="44" spans="1:31" x14ac:dyDescent="0.3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</row>
    <row r="45" spans="1:31" x14ac:dyDescent="0.3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</row>
    <row r="46" spans="1:31" x14ac:dyDescent="0.3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</row>
    <row r="47" spans="1:31" x14ac:dyDescent="0.3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</row>
    <row r="48" spans="1:31" x14ac:dyDescent="0.3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</row>
    <row r="49" spans="1:31" x14ac:dyDescent="0.3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</row>
    <row r="50" spans="1:31" x14ac:dyDescent="0.3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</row>
    <row r="51" spans="1:31" x14ac:dyDescent="0.3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 x14ac:dyDescent="0.3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</row>
    <row r="53" spans="1:31" x14ac:dyDescent="0.3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</row>
    <row r="54" spans="1:31" x14ac:dyDescent="0.3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</row>
    <row r="55" spans="1:31" x14ac:dyDescent="0.3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</row>
    <row r="56" spans="1:31" x14ac:dyDescent="0.3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</row>
    <row r="57" spans="1:31" x14ac:dyDescent="0.3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</row>
    <row r="58" spans="1:31" x14ac:dyDescent="0.3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 x14ac:dyDescent="0.3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</row>
    <row r="60" spans="1:31" x14ac:dyDescent="0.3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</row>
    <row r="61" spans="1:31" x14ac:dyDescent="0.3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</row>
    <row r="62" spans="1:31" x14ac:dyDescent="0.3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</row>
    <row r="63" spans="1:31" x14ac:dyDescent="0.35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</row>
    <row r="64" spans="1:31" x14ac:dyDescent="0.35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</row>
    <row r="65" spans="1:31" x14ac:dyDescent="0.3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</row>
    <row r="66" spans="1:31" x14ac:dyDescent="0.3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</row>
    <row r="67" spans="1:31" x14ac:dyDescent="0.35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</row>
    <row r="68" spans="1:31" x14ac:dyDescent="0.35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</row>
    <row r="69" spans="1:31" x14ac:dyDescent="0.35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</row>
    <row r="70" spans="1:31" x14ac:dyDescent="0.35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</row>
    <row r="71" spans="1:31" x14ac:dyDescent="0.35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</row>
  </sheetData>
  <mergeCells count="5">
    <mergeCell ref="D2:E2"/>
    <mergeCell ref="A3:C5"/>
    <mergeCell ref="A6:C8"/>
    <mergeCell ref="A9:C11"/>
    <mergeCell ref="A1:C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sumBills">
                <anchor moveWithCells="1" sizeWithCells="1">
                  <from>
                    <xdr:col>5</xdr:col>
                    <xdr:colOff>95250</xdr:colOff>
                    <xdr:row>1</xdr:row>
                    <xdr:rowOff>38100</xdr:rowOff>
                  </from>
                  <to>
                    <xdr:col>7</xdr:col>
                    <xdr:colOff>495300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pysheet">
                <anchor moveWithCells="1" sizeWithCells="1">
                  <from>
                    <xdr:col>5</xdr:col>
                    <xdr:colOff>95250</xdr:colOff>
                    <xdr:row>6</xdr:row>
                    <xdr:rowOff>12700</xdr:rowOff>
                  </from>
                  <to>
                    <xdr:col>7</xdr:col>
                    <xdr:colOff>488950</xdr:colOff>
                    <xdr:row>7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BFC51-C61C-48B6-B8C6-27B8196870CE}">
  <sheetPr codeName="Sheet2"/>
  <dimension ref="A1:N80"/>
  <sheetViews>
    <sheetView tabSelected="1" zoomScale="70" zoomScaleNormal="70" workbookViewId="0">
      <pane ySplit="1" topLeftCell="A65" activePane="bottomLeft" state="frozen"/>
      <selection pane="bottomLeft" activeCell="G86" sqref="G86"/>
    </sheetView>
  </sheetViews>
  <sheetFormatPr defaultRowHeight="14" x14ac:dyDescent="0.3"/>
  <cols>
    <col min="1" max="1" width="16.453125" style="1" bestFit="1" customWidth="1"/>
    <col min="2" max="2" width="8.7265625" style="1"/>
    <col min="3" max="3" width="18.36328125" style="1" bestFit="1" customWidth="1"/>
    <col min="4" max="10" width="8.7265625" style="1"/>
    <col min="11" max="11" width="11.453125" style="1" bestFit="1" customWidth="1"/>
    <col min="12" max="16384" width="8.7265625" style="1"/>
  </cols>
  <sheetData>
    <row r="1" spans="1:14" ht="26.5" customHeight="1" thickBot="1" x14ac:dyDescent="0.35">
      <c r="A1" s="4" t="s">
        <v>0</v>
      </c>
      <c r="B1" s="4" t="s">
        <v>0</v>
      </c>
      <c r="C1" s="4" t="s">
        <v>1</v>
      </c>
      <c r="D1" s="12" t="s">
        <v>2</v>
      </c>
      <c r="E1" s="13" t="s">
        <v>3</v>
      </c>
      <c r="F1" s="13" t="s">
        <v>4</v>
      </c>
      <c r="G1" s="13" t="s">
        <v>5</v>
      </c>
      <c r="H1" s="13" t="s">
        <v>6</v>
      </c>
      <c r="I1" s="35" t="s">
        <v>19</v>
      </c>
      <c r="J1" s="41" t="s">
        <v>17</v>
      </c>
      <c r="K1" s="5" t="s">
        <v>7</v>
      </c>
      <c r="L1" s="5" t="s">
        <v>8</v>
      </c>
      <c r="M1" s="5" t="s">
        <v>9</v>
      </c>
      <c r="N1" s="5" t="s">
        <v>10</v>
      </c>
    </row>
    <row r="2" spans="1:14" ht="14.5" x14ac:dyDescent="0.35">
      <c r="A2" t="s">
        <v>20</v>
      </c>
      <c r="B2" t="s">
        <v>21</v>
      </c>
      <c r="C2" s="43" t="s">
        <v>22</v>
      </c>
      <c r="D2" s="8">
        <v>1</v>
      </c>
      <c r="E2" s="6">
        <v>1</v>
      </c>
      <c r="F2" s="6">
        <v>1</v>
      </c>
      <c r="G2" s="6">
        <v>1</v>
      </c>
      <c r="H2" s="44">
        <v>1</v>
      </c>
      <c r="I2" s="36">
        <v>1</v>
      </c>
      <c r="J2" s="42">
        <f>(SplashPage!$E$3 *D2) + (SplashPage!$E$4*E2) + (SplashPage!$E$5 *F2) + (SplashPage!$E$6 *G2) + (SplashPage!$E$7 *H2) + (SplashPage!$E$8 * I2)</f>
        <v>67</v>
      </c>
      <c r="K2" s="37">
        <f xml:space="preserve"> FLOOR(J2/20, 1)</f>
        <v>3</v>
      </c>
      <c r="L2" s="14">
        <f xml:space="preserve"> FLOOR((J2 - K2*20)/10, 1)</f>
        <v>0</v>
      </c>
      <c r="M2" s="14">
        <f xml:space="preserve"> FLOOR((J2 - K2*20 - L2*10)/5, 1)</f>
        <v>1</v>
      </c>
      <c r="N2" s="15">
        <f xml:space="preserve"> FLOOR((J2 - K2*20 - L2*10 - M2 *5)/1, 1)</f>
        <v>2</v>
      </c>
    </row>
    <row r="3" spans="1:14" ht="14.5" x14ac:dyDescent="0.35">
      <c r="A3"/>
      <c r="B3"/>
      <c r="C3"/>
      <c r="D3" s="8"/>
      <c r="E3" s="6"/>
      <c r="F3" s="6"/>
      <c r="G3" s="6"/>
      <c r="H3" s="6"/>
      <c r="I3" s="36"/>
      <c r="J3" s="42">
        <f>(SplashPage!$E$3 *D3) + (SplashPage!$E$4*E3) + (SplashPage!$E$5 *F3) + (SplashPage!$E$6 *G3) + (SplashPage!$E$7 *H3) + (SplashPage!$E$8 * I3)</f>
        <v>0</v>
      </c>
      <c r="K3" s="38">
        <f t="shared" ref="K3:K4" si="0" xml:space="preserve"> FLOOR(J3/20, 1)</f>
        <v>0</v>
      </c>
      <c r="L3" s="16">
        <f t="shared" ref="L3:L4" si="1" xml:space="preserve"> FLOOR((J3 - K3*20)/10, 1)</f>
        <v>0</v>
      </c>
      <c r="M3" s="16">
        <f t="shared" ref="M3:M4" si="2" xml:space="preserve"> FLOOR((J3 - K3*20 - L3*10)/5, 1)</f>
        <v>0</v>
      </c>
      <c r="N3" s="17">
        <f t="shared" ref="N3:N4" si="3" xml:space="preserve"> FLOOR((J3 - K3*20 - L3*10 - M3 *5)/1, 1)</f>
        <v>0</v>
      </c>
    </row>
    <row r="4" spans="1:14" ht="14.5" x14ac:dyDescent="0.35">
      <c r="A4"/>
      <c r="B4"/>
      <c r="C4"/>
      <c r="D4" s="8"/>
      <c r="E4" s="6"/>
      <c r="F4" s="6"/>
      <c r="G4" s="6"/>
      <c r="H4" s="6"/>
      <c r="I4" s="36"/>
      <c r="J4" s="42">
        <f>(SplashPage!$E$3 *D4) + (SplashPage!$E$4*E4) + (SplashPage!$E$5 *F4) + (SplashPage!$E$6 *G4) + (SplashPage!$E$7 *H4) + (SplashPage!$E$8 * I4)</f>
        <v>0</v>
      </c>
      <c r="K4" s="39">
        <f t="shared" si="0"/>
        <v>0</v>
      </c>
      <c r="L4" s="18">
        <f t="shared" si="1"/>
        <v>0</v>
      </c>
      <c r="M4" s="18">
        <f t="shared" si="2"/>
        <v>0</v>
      </c>
      <c r="N4" s="19">
        <f t="shared" si="3"/>
        <v>0</v>
      </c>
    </row>
    <row r="5" spans="1:14" ht="14.5" x14ac:dyDescent="0.35">
      <c r="A5"/>
      <c r="B5"/>
      <c r="C5"/>
      <c r="D5" s="8"/>
      <c r="E5" s="6"/>
      <c r="F5" s="6"/>
      <c r="G5" s="6"/>
      <c r="H5" s="6"/>
      <c r="I5" s="36"/>
      <c r="J5" s="42">
        <f>(SplashPage!$E$3 *D5) + (SplashPage!$E$4*E5) + (SplashPage!$E$5 *F5) + (SplashPage!$E$6 *G5) + (SplashPage!$E$7 *H5) + (SplashPage!$E$8 * I5)</f>
        <v>0</v>
      </c>
      <c r="K5" s="38">
        <f t="shared" ref="K5:K67" si="4" xml:space="preserve"> FLOOR(J5/20, 1)</f>
        <v>0</v>
      </c>
      <c r="L5" s="16">
        <f t="shared" ref="L5:L67" si="5" xml:space="preserve"> FLOOR((J5 - K5*20)/10, 1)</f>
        <v>0</v>
      </c>
      <c r="M5" s="16">
        <f t="shared" ref="M5:M67" si="6" xml:space="preserve"> FLOOR((J5 - K5*20 - L5*10)/5, 1)</f>
        <v>0</v>
      </c>
      <c r="N5" s="17">
        <f t="shared" ref="N5:N67" si="7" xml:space="preserve"> FLOOR((J5 - K5*20 - L5*10 - M5 *5)/1, 1)</f>
        <v>0</v>
      </c>
    </row>
    <row r="6" spans="1:14" ht="14.5" x14ac:dyDescent="0.35">
      <c r="A6"/>
      <c r="B6"/>
      <c r="C6"/>
      <c r="D6" s="8"/>
      <c r="E6" s="6"/>
      <c r="F6" s="6"/>
      <c r="G6" s="6"/>
      <c r="H6" s="6"/>
      <c r="I6" s="36"/>
      <c r="J6" s="42">
        <f>(SplashPage!$E$3 *D6) + (SplashPage!$E$4*E6) + (SplashPage!$E$5 *F6) + (SplashPage!$E$6 *G6) + (SplashPage!$E$7 *H6) + (SplashPage!$E$8 * I6)</f>
        <v>0</v>
      </c>
      <c r="K6" s="39">
        <f t="shared" si="4"/>
        <v>0</v>
      </c>
      <c r="L6" s="18">
        <f t="shared" si="5"/>
        <v>0</v>
      </c>
      <c r="M6" s="18">
        <f t="shared" si="6"/>
        <v>0</v>
      </c>
      <c r="N6" s="19">
        <f t="shared" si="7"/>
        <v>0</v>
      </c>
    </row>
    <row r="7" spans="1:14" ht="14.5" x14ac:dyDescent="0.35">
      <c r="A7"/>
      <c r="B7"/>
      <c r="C7"/>
      <c r="D7" s="8"/>
      <c r="E7" s="6"/>
      <c r="F7" s="6"/>
      <c r="G7" s="6"/>
      <c r="H7" s="6"/>
      <c r="I7" s="36"/>
      <c r="J7" s="42">
        <f>(SplashPage!$E$3 *D7) + (SplashPage!$E$4*E7) + (SplashPage!$E$5 *F7) + (SplashPage!$E$6 *G7) + (SplashPage!$E$7 *H7) + (SplashPage!$E$8 * I7)</f>
        <v>0</v>
      </c>
      <c r="K7" s="38">
        <f t="shared" si="4"/>
        <v>0</v>
      </c>
      <c r="L7" s="16">
        <f t="shared" si="5"/>
        <v>0</v>
      </c>
      <c r="M7" s="16">
        <f t="shared" si="6"/>
        <v>0</v>
      </c>
      <c r="N7" s="17">
        <f t="shared" si="7"/>
        <v>0</v>
      </c>
    </row>
    <row r="8" spans="1:14" ht="14.5" x14ac:dyDescent="0.35">
      <c r="A8"/>
      <c r="B8"/>
      <c r="C8"/>
      <c r="D8" s="8"/>
      <c r="E8" s="6"/>
      <c r="F8" s="6"/>
      <c r="G8" s="6"/>
      <c r="H8" s="6"/>
      <c r="I8" s="36"/>
      <c r="J8" s="42">
        <f>(SplashPage!$E$3 *D8) + (SplashPage!$E$4*E8) + (SplashPage!$E$5 *F8) + (SplashPage!$E$6 *G8) + (SplashPage!$E$7 *H8) + (SplashPage!$E$8 * I8)</f>
        <v>0</v>
      </c>
      <c r="K8" s="39">
        <f t="shared" si="4"/>
        <v>0</v>
      </c>
      <c r="L8" s="18">
        <f t="shared" si="5"/>
        <v>0</v>
      </c>
      <c r="M8" s="18">
        <f t="shared" si="6"/>
        <v>0</v>
      </c>
      <c r="N8" s="19">
        <f t="shared" si="7"/>
        <v>0</v>
      </c>
    </row>
    <row r="9" spans="1:14" ht="14.5" x14ac:dyDescent="0.35">
      <c r="A9"/>
      <c r="B9"/>
      <c r="C9"/>
      <c r="D9" s="8"/>
      <c r="E9" s="6"/>
      <c r="F9" s="6"/>
      <c r="G9" s="6"/>
      <c r="H9" s="6"/>
      <c r="I9" s="36"/>
      <c r="J9" s="42">
        <f>(SplashPage!$E$3 *D9) + (SplashPage!$E$4*E9) + (SplashPage!$E$5 *F9) + (SplashPage!$E$6 *G9) + (SplashPage!$E$7 *H9) + (SplashPage!$E$8 * I9)</f>
        <v>0</v>
      </c>
      <c r="K9" s="38">
        <f t="shared" si="4"/>
        <v>0</v>
      </c>
      <c r="L9" s="16">
        <f t="shared" si="5"/>
        <v>0</v>
      </c>
      <c r="M9" s="16">
        <f t="shared" si="6"/>
        <v>0</v>
      </c>
      <c r="N9" s="17">
        <f t="shared" si="7"/>
        <v>0</v>
      </c>
    </row>
    <row r="10" spans="1:14" ht="14.5" x14ac:dyDescent="0.35">
      <c r="A10"/>
      <c r="B10"/>
      <c r="C10"/>
      <c r="D10" s="8"/>
      <c r="E10" s="6"/>
      <c r="F10" s="6"/>
      <c r="G10" s="6"/>
      <c r="H10" s="6"/>
      <c r="I10" s="36"/>
      <c r="J10" s="42">
        <f>(SplashPage!$E$3 *D10) + (SplashPage!$E$4*E10) + (SplashPage!$E$5 *F10) + (SplashPage!$E$6 *G10) + (SplashPage!$E$7 *H10) + (SplashPage!$E$8 * I10)</f>
        <v>0</v>
      </c>
      <c r="K10" s="39">
        <f t="shared" si="4"/>
        <v>0</v>
      </c>
      <c r="L10" s="18">
        <f t="shared" si="5"/>
        <v>0</v>
      </c>
      <c r="M10" s="18">
        <f t="shared" si="6"/>
        <v>0</v>
      </c>
      <c r="N10" s="19">
        <f t="shared" si="7"/>
        <v>0</v>
      </c>
    </row>
    <row r="11" spans="1:14" ht="14.5" x14ac:dyDescent="0.35">
      <c r="A11"/>
      <c r="B11"/>
      <c r="C11"/>
      <c r="D11" s="8"/>
      <c r="E11" s="6"/>
      <c r="F11" s="6"/>
      <c r="G11" s="6"/>
      <c r="H11" s="6"/>
      <c r="I11" s="36"/>
      <c r="J11" s="42">
        <f>(SplashPage!$E$3 *D11) + (SplashPage!$E$4*E11) + (SplashPage!$E$5 *F11) + (SplashPage!$E$6 *G11) + (SplashPage!$E$7 *H11) + (SplashPage!$E$8 * I11)</f>
        <v>0</v>
      </c>
      <c r="K11" s="38">
        <f t="shared" si="4"/>
        <v>0</v>
      </c>
      <c r="L11" s="16">
        <f t="shared" si="5"/>
        <v>0</v>
      </c>
      <c r="M11" s="16">
        <f t="shared" si="6"/>
        <v>0</v>
      </c>
      <c r="N11" s="17">
        <f t="shared" si="7"/>
        <v>0</v>
      </c>
    </row>
    <row r="12" spans="1:14" ht="14.5" x14ac:dyDescent="0.35">
      <c r="A12"/>
      <c r="B12"/>
      <c r="C12"/>
      <c r="D12" s="8"/>
      <c r="E12" s="6"/>
      <c r="F12" s="6"/>
      <c r="G12" s="6"/>
      <c r="H12" s="6"/>
      <c r="I12" s="36"/>
      <c r="J12" s="42">
        <f>(SplashPage!$E$3 *D12) + (SplashPage!$E$4*E12) + (SplashPage!$E$5 *F12) + (SplashPage!$E$6 *G12) + (SplashPage!$E$7 *H12) + (SplashPage!$E$8 * I12)</f>
        <v>0</v>
      </c>
      <c r="K12" s="39">
        <f t="shared" si="4"/>
        <v>0</v>
      </c>
      <c r="L12" s="18">
        <f t="shared" si="5"/>
        <v>0</v>
      </c>
      <c r="M12" s="18">
        <f t="shared" si="6"/>
        <v>0</v>
      </c>
      <c r="N12" s="19">
        <f t="shared" si="7"/>
        <v>0</v>
      </c>
    </row>
    <row r="13" spans="1:14" ht="14.5" x14ac:dyDescent="0.35">
      <c r="A13"/>
      <c r="B13"/>
      <c r="C13"/>
      <c r="D13" s="8"/>
      <c r="E13" s="6"/>
      <c r="F13" s="6"/>
      <c r="G13" s="6"/>
      <c r="H13" s="6"/>
      <c r="I13" s="36"/>
      <c r="J13" s="42">
        <f>(SplashPage!$E$3 *D13) + (SplashPage!$E$4*E13) + (SplashPage!$E$5 *F13) + (SplashPage!$E$6 *G13) + (SplashPage!$E$7 *H13) + (SplashPage!$E$8 * I13)</f>
        <v>0</v>
      </c>
      <c r="K13" s="38">
        <f t="shared" si="4"/>
        <v>0</v>
      </c>
      <c r="L13" s="16">
        <f t="shared" si="5"/>
        <v>0</v>
      </c>
      <c r="M13" s="16">
        <f t="shared" si="6"/>
        <v>0</v>
      </c>
      <c r="N13" s="17">
        <f t="shared" si="7"/>
        <v>0</v>
      </c>
    </row>
    <row r="14" spans="1:14" ht="14.5" x14ac:dyDescent="0.35">
      <c r="A14"/>
      <c r="B14"/>
      <c r="C14"/>
      <c r="D14" s="8"/>
      <c r="E14" s="6"/>
      <c r="F14" s="6"/>
      <c r="G14" s="6"/>
      <c r="H14" s="6"/>
      <c r="I14" s="36"/>
      <c r="J14" s="42">
        <f>(SplashPage!$E$3 *D14) + (SplashPage!$E$4*E14) + (SplashPage!$E$5 *F14) + (SplashPage!$E$6 *G14) + (SplashPage!$E$7 *H14) + (SplashPage!$E$8 * I14)</f>
        <v>0</v>
      </c>
      <c r="K14" s="39">
        <f t="shared" si="4"/>
        <v>0</v>
      </c>
      <c r="L14" s="18">
        <f t="shared" si="5"/>
        <v>0</v>
      </c>
      <c r="M14" s="18">
        <f t="shared" si="6"/>
        <v>0</v>
      </c>
      <c r="N14" s="19">
        <f t="shared" si="7"/>
        <v>0</v>
      </c>
    </row>
    <row r="15" spans="1:14" ht="14.5" x14ac:dyDescent="0.35">
      <c r="A15"/>
      <c r="B15"/>
      <c r="C15"/>
      <c r="D15" s="8"/>
      <c r="E15" s="6"/>
      <c r="F15" s="6"/>
      <c r="G15" s="6"/>
      <c r="H15" s="6"/>
      <c r="I15" s="36"/>
      <c r="J15" s="42">
        <f>(SplashPage!$E$3 *D15) + (SplashPage!$E$4*E15) + (SplashPage!$E$5 *F15) + (SplashPage!$E$6 *G15) + (SplashPage!$E$7 *H15) + (SplashPage!$E$8 * I15)</f>
        <v>0</v>
      </c>
      <c r="K15" s="38">
        <f t="shared" si="4"/>
        <v>0</v>
      </c>
      <c r="L15" s="16">
        <f t="shared" si="5"/>
        <v>0</v>
      </c>
      <c r="M15" s="16">
        <f t="shared" si="6"/>
        <v>0</v>
      </c>
      <c r="N15" s="17">
        <f t="shared" si="7"/>
        <v>0</v>
      </c>
    </row>
    <row r="16" spans="1:14" ht="14.5" x14ac:dyDescent="0.35">
      <c r="A16"/>
      <c r="B16"/>
      <c r="C16"/>
      <c r="D16" s="8"/>
      <c r="E16" s="6"/>
      <c r="F16" s="6"/>
      <c r="G16" s="6"/>
      <c r="H16" s="6"/>
      <c r="I16" s="36"/>
      <c r="J16" s="42">
        <f>(SplashPage!$E$3 *D16) + (SplashPage!$E$4*E16) + (SplashPage!$E$5 *F16) + (SplashPage!$E$6 *G16) + (SplashPage!$E$7 *H16) + (SplashPage!$E$8 * I16)</f>
        <v>0</v>
      </c>
      <c r="K16" s="39">
        <f t="shared" si="4"/>
        <v>0</v>
      </c>
      <c r="L16" s="18">
        <f t="shared" si="5"/>
        <v>0</v>
      </c>
      <c r="M16" s="18">
        <f t="shared" si="6"/>
        <v>0</v>
      </c>
      <c r="N16" s="19">
        <f t="shared" si="7"/>
        <v>0</v>
      </c>
    </row>
    <row r="17" spans="1:14" ht="14.5" x14ac:dyDescent="0.35">
      <c r="A17"/>
      <c r="B17"/>
      <c r="C17"/>
      <c r="D17" s="8"/>
      <c r="E17" s="6"/>
      <c r="F17" s="6"/>
      <c r="G17" s="6"/>
      <c r="H17" s="6"/>
      <c r="I17" s="36"/>
      <c r="J17" s="42">
        <f>(SplashPage!$E$3 *D17) + (SplashPage!$E$4*E17) + (SplashPage!$E$5 *F17) + (SplashPage!$E$6 *G17) + (SplashPage!$E$7 *H17) + (SplashPage!$E$8 * I17)</f>
        <v>0</v>
      </c>
      <c r="K17" s="38">
        <f t="shared" si="4"/>
        <v>0</v>
      </c>
      <c r="L17" s="16">
        <f t="shared" si="5"/>
        <v>0</v>
      </c>
      <c r="M17" s="16">
        <f t="shared" si="6"/>
        <v>0</v>
      </c>
      <c r="N17" s="17">
        <f t="shared" si="7"/>
        <v>0</v>
      </c>
    </row>
    <row r="18" spans="1:14" ht="14.5" x14ac:dyDescent="0.35">
      <c r="A18"/>
      <c r="B18"/>
      <c r="C18"/>
      <c r="D18" s="8"/>
      <c r="E18" s="6"/>
      <c r="F18" s="6"/>
      <c r="G18" s="6"/>
      <c r="H18" s="6"/>
      <c r="I18" s="36"/>
      <c r="J18" s="42">
        <f>(SplashPage!$E$3 *D18) + (SplashPage!$E$4*E18) + (SplashPage!$E$5 *F18) + (SplashPage!$E$6 *G18) + (SplashPage!$E$7 *H18) + (SplashPage!$E$8 * I18)</f>
        <v>0</v>
      </c>
      <c r="K18" s="39">
        <f t="shared" si="4"/>
        <v>0</v>
      </c>
      <c r="L18" s="18">
        <f t="shared" si="5"/>
        <v>0</v>
      </c>
      <c r="M18" s="18">
        <f t="shared" si="6"/>
        <v>0</v>
      </c>
      <c r="N18" s="19">
        <f t="shared" si="7"/>
        <v>0</v>
      </c>
    </row>
    <row r="19" spans="1:14" ht="14.5" x14ac:dyDescent="0.35">
      <c r="A19"/>
      <c r="B19"/>
      <c r="C19"/>
      <c r="D19" s="8"/>
      <c r="E19" s="6"/>
      <c r="F19" s="6"/>
      <c r="G19" s="6"/>
      <c r="H19" s="6"/>
      <c r="I19" s="36"/>
      <c r="J19" s="42">
        <f>(SplashPage!$E$3 *D19) + (SplashPage!$E$4*E19) + (SplashPage!$E$5 *F19) + (SplashPage!$E$6 *G19) + (SplashPage!$E$7 *H19) + (SplashPage!$E$8 * I19)</f>
        <v>0</v>
      </c>
      <c r="K19" s="38">
        <f t="shared" si="4"/>
        <v>0</v>
      </c>
      <c r="L19" s="16">
        <f t="shared" si="5"/>
        <v>0</v>
      </c>
      <c r="M19" s="16">
        <f t="shared" si="6"/>
        <v>0</v>
      </c>
      <c r="N19" s="17">
        <f t="shared" si="7"/>
        <v>0</v>
      </c>
    </row>
    <row r="20" spans="1:14" ht="14.5" x14ac:dyDescent="0.35">
      <c r="A20"/>
      <c r="B20"/>
      <c r="C20"/>
      <c r="D20" s="8"/>
      <c r="E20" s="6"/>
      <c r="F20" s="6"/>
      <c r="G20" s="6"/>
      <c r="H20" s="6"/>
      <c r="I20" s="36"/>
      <c r="J20" s="42">
        <f>(SplashPage!$E$3 *D20) + (SplashPage!$E$4*E20) + (SplashPage!$E$5 *F20) + (SplashPage!$E$6 *G20) + (SplashPage!$E$7 *H20) + (SplashPage!$E$8 * I20)</f>
        <v>0</v>
      </c>
      <c r="K20" s="39">
        <f t="shared" si="4"/>
        <v>0</v>
      </c>
      <c r="L20" s="18">
        <f t="shared" si="5"/>
        <v>0</v>
      </c>
      <c r="M20" s="18">
        <f t="shared" si="6"/>
        <v>0</v>
      </c>
      <c r="N20" s="19">
        <f t="shared" si="7"/>
        <v>0</v>
      </c>
    </row>
    <row r="21" spans="1:14" ht="14.5" x14ac:dyDescent="0.35">
      <c r="A21"/>
      <c r="B21"/>
      <c r="C21"/>
      <c r="D21" s="8"/>
      <c r="E21" s="6"/>
      <c r="F21" s="6"/>
      <c r="G21" s="6"/>
      <c r="H21" s="6"/>
      <c r="I21" s="36"/>
      <c r="J21" s="42">
        <f>(SplashPage!$E$3 *D21) + (SplashPage!$E$4*E21) + (SplashPage!$E$5 *F21) + (SplashPage!$E$6 *G21) + (SplashPage!$E$7 *H21) + (SplashPage!$E$8 * I21)</f>
        <v>0</v>
      </c>
      <c r="K21" s="38">
        <f t="shared" si="4"/>
        <v>0</v>
      </c>
      <c r="L21" s="16">
        <f t="shared" si="5"/>
        <v>0</v>
      </c>
      <c r="M21" s="16">
        <f t="shared" si="6"/>
        <v>0</v>
      </c>
      <c r="N21" s="17">
        <f t="shared" si="7"/>
        <v>0</v>
      </c>
    </row>
    <row r="22" spans="1:14" ht="14.5" x14ac:dyDescent="0.35">
      <c r="A22"/>
      <c r="B22"/>
      <c r="C22"/>
      <c r="D22" s="8"/>
      <c r="E22" s="6"/>
      <c r="F22" s="6"/>
      <c r="G22" s="6"/>
      <c r="H22" s="6"/>
      <c r="I22" s="36"/>
      <c r="J22" s="42">
        <f>(SplashPage!$E$3 *D22) + (SplashPage!$E$4*E22) + (SplashPage!$E$5 *F22) + (SplashPage!$E$6 *G22) + (SplashPage!$E$7 *H22) + (SplashPage!$E$8 * I22)</f>
        <v>0</v>
      </c>
      <c r="K22" s="39">
        <f t="shared" si="4"/>
        <v>0</v>
      </c>
      <c r="L22" s="18">
        <f t="shared" si="5"/>
        <v>0</v>
      </c>
      <c r="M22" s="18">
        <f t="shared" si="6"/>
        <v>0</v>
      </c>
      <c r="N22" s="19">
        <f t="shared" si="7"/>
        <v>0</v>
      </c>
    </row>
    <row r="23" spans="1:14" ht="14.5" x14ac:dyDescent="0.35">
      <c r="A23"/>
      <c r="B23"/>
      <c r="C23"/>
      <c r="D23" s="8"/>
      <c r="E23" s="6"/>
      <c r="F23" s="6"/>
      <c r="G23" s="6"/>
      <c r="H23" s="6"/>
      <c r="I23" s="36"/>
      <c r="J23" s="42">
        <f>(SplashPage!$E$3 *D23) + (SplashPage!$E$4*E23) + (SplashPage!$E$5 *F23) + (SplashPage!$E$6 *G23) + (SplashPage!$E$7 *H23) + (SplashPage!$E$8 * I23)</f>
        <v>0</v>
      </c>
      <c r="K23" s="38">
        <f t="shared" si="4"/>
        <v>0</v>
      </c>
      <c r="L23" s="16">
        <f t="shared" si="5"/>
        <v>0</v>
      </c>
      <c r="M23" s="16">
        <f t="shared" si="6"/>
        <v>0</v>
      </c>
      <c r="N23" s="17">
        <f t="shared" si="7"/>
        <v>0</v>
      </c>
    </row>
    <row r="24" spans="1:14" ht="14.5" x14ac:dyDescent="0.35">
      <c r="A24"/>
      <c r="B24"/>
      <c r="C24"/>
      <c r="D24" s="8"/>
      <c r="E24" s="6"/>
      <c r="F24" s="6"/>
      <c r="G24" s="6"/>
      <c r="H24" s="6"/>
      <c r="I24" s="36"/>
      <c r="J24" s="42">
        <f>(SplashPage!$E$3 *D24) + (SplashPage!$E$4*E24) + (SplashPage!$E$5 *F24) + (SplashPage!$E$6 *G24) + (SplashPage!$E$7 *H24) + (SplashPage!$E$8 * I24)</f>
        <v>0</v>
      </c>
      <c r="K24" s="39">
        <f t="shared" si="4"/>
        <v>0</v>
      </c>
      <c r="L24" s="18">
        <f t="shared" si="5"/>
        <v>0</v>
      </c>
      <c r="M24" s="18">
        <f t="shared" si="6"/>
        <v>0</v>
      </c>
      <c r="N24" s="19">
        <f t="shared" si="7"/>
        <v>0</v>
      </c>
    </row>
    <row r="25" spans="1:14" ht="14.5" x14ac:dyDescent="0.35">
      <c r="A25"/>
      <c r="B25"/>
      <c r="C25"/>
      <c r="D25" s="8"/>
      <c r="E25" s="6"/>
      <c r="F25" s="6"/>
      <c r="G25" s="6"/>
      <c r="H25" s="6"/>
      <c r="I25" s="36"/>
      <c r="J25" s="42">
        <f>(SplashPage!$E$3 *D25) + (SplashPage!$E$4*E25) + (SplashPage!$E$5 *F25) + (SplashPage!$E$6 *G25) + (SplashPage!$E$7 *H25) + (SplashPage!$E$8 * I25)</f>
        <v>0</v>
      </c>
      <c r="K25" s="38">
        <f t="shared" si="4"/>
        <v>0</v>
      </c>
      <c r="L25" s="16">
        <f t="shared" si="5"/>
        <v>0</v>
      </c>
      <c r="M25" s="16">
        <f t="shared" si="6"/>
        <v>0</v>
      </c>
      <c r="N25" s="17">
        <f t="shared" si="7"/>
        <v>0</v>
      </c>
    </row>
    <row r="26" spans="1:14" ht="14.5" x14ac:dyDescent="0.35">
      <c r="A26"/>
      <c r="B26"/>
      <c r="C26"/>
      <c r="D26" s="8"/>
      <c r="E26" s="6"/>
      <c r="F26" s="6"/>
      <c r="G26" s="6"/>
      <c r="H26" s="6"/>
      <c r="I26" s="36"/>
      <c r="J26" s="42">
        <f>(SplashPage!$E$3 *D26) + (SplashPage!$E$4*E26) + (SplashPage!$E$5 *F26) + (SplashPage!$E$6 *G26) + (SplashPage!$E$7 *H26) + (SplashPage!$E$8 * I26)</f>
        <v>0</v>
      </c>
      <c r="K26" s="39">
        <f t="shared" si="4"/>
        <v>0</v>
      </c>
      <c r="L26" s="18">
        <f t="shared" si="5"/>
        <v>0</v>
      </c>
      <c r="M26" s="18">
        <f t="shared" si="6"/>
        <v>0</v>
      </c>
      <c r="N26" s="19">
        <f t="shared" si="7"/>
        <v>0</v>
      </c>
    </row>
    <row r="27" spans="1:14" ht="14.5" x14ac:dyDescent="0.35">
      <c r="A27"/>
      <c r="B27"/>
      <c r="C27"/>
      <c r="D27" s="8"/>
      <c r="E27" s="6"/>
      <c r="F27" s="6"/>
      <c r="G27" s="6"/>
      <c r="H27" s="6"/>
      <c r="I27" s="36"/>
      <c r="J27" s="42">
        <f>(SplashPage!$E$3 *D27) + (SplashPage!$E$4*E27) + (SplashPage!$E$5 *F27) + (SplashPage!$E$6 *G27) + (SplashPage!$E$7 *H27) + (SplashPage!$E$8 * I27)</f>
        <v>0</v>
      </c>
      <c r="K27" s="38">
        <f t="shared" si="4"/>
        <v>0</v>
      </c>
      <c r="L27" s="16">
        <f t="shared" si="5"/>
        <v>0</v>
      </c>
      <c r="M27" s="16">
        <f t="shared" si="6"/>
        <v>0</v>
      </c>
      <c r="N27" s="17">
        <f t="shared" si="7"/>
        <v>0</v>
      </c>
    </row>
    <row r="28" spans="1:14" ht="14.5" x14ac:dyDescent="0.35">
      <c r="A28"/>
      <c r="B28"/>
      <c r="C28"/>
      <c r="D28" s="8"/>
      <c r="E28" s="6"/>
      <c r="F28" s="6"/>
      <c r="G28" s="6"/>
      <c r="H28" s="6"/>
      <c r="I28" s="36"/>
      <c r="J28" s="42">
        <f>(SplashPage!$E$3 *D28) + (SplashPage!$E$4*E28) + (SplashPage!$E$5 *F28) + (SplashPage!$E$6 *G28) + (SplashPage!$E$7 *H28) + (SplashPage!$E$8 * I28)</f>
        <v>0</v>
      </c>
      <c r="K28" s="38">
        <f t="shared" si="4"/>
        <v>0</v>
      </c>
      <c r="L28" s="16">
        <f t="shared" si="5"/>
        <v>0</v>
      </c>
      <c r="M28" s="16">
        <f t="shared" si="6"/>
        <v>0</v>
      </c>
      <c r="N28" s="17">
        <f t="shared" si="7"/>
        <v>0</v>
      </c>
    </row>
    <row r="29" spans="1:14" ht="14.5" x14ac:dyDescent="0.35">
      <c r="A29"/>
      <c r="B29"/>
      <c r="C29"/>
      <c r="D29" s="8"/>
      <c r="E29" s="6"/>
      <c r="F29" s="6"/>
      <c r="G29" s="6"/>
      <c r="H29" s="6"/>
      <c r="I29" s="36"/>
      <c r="J29" s="42">
        <f>(SplashPage!$E$3 *D29) + (SplashPage!$E$4*E29) + (SplashPage!$E$5 *F29) + (SplashPage!$E$6 *G29) + (SplashPage!$E$7 *H29) + (SplashPage!$E$8 * I29)</f>
        <v>0</v>
      </c>
      <c r="K29" s="39">
        <f t="shared" si="4"/>
        <v>0</v>
      </c>
      <c r="L29" s="18">
        <f t="shared" si="5"/>
        <v>0</v>
      </c>
      <c r="M29" s="18">
        <f t="shared" si="6"/>
        <v>0</v>
      </c>
      <c r="N29" s="19">
        <f t="shared" si="7"/>
        <v>0</v>
      </c>
    </row>
    <row r="30" spans="1:14" ht="14.5" x14ac:dyDescent="0.35">
      <c r="A30"/>
      <c r="B30"/>
      <c r="C30"/>
      <c r="D30" s="8"/>
      <c r="E30" s="6"/>
      <c r="F30" s="6"/>
      <c r="G30" s="6"/>
      <c r="H30" s="6"/>
      <c r="I30" s="36"/>
      <c r="J30" s="42">
        <f>(SplashPage!$E$3 *D30) + (SplashPage!$E$4*E30) + (SplashPage!$E$5 *F30) + (SplashPage!$E$6 *G30) + (SplashPage!$E$7 *H30) + (SplashPage!$E$8 * I30)</f>
        <v>0</v>
      </c>
      <c r="K30" s="38">
        <f t="shared" si="4"/>
        <v>0</v>
      </c>
      <c r="L30" s="16">
        <f t="shared" si="5"/>
        <v>0</v>
      </c>
      <c r="M30" s="16">
        <f t="shared" si="6"/>
        <v>0</v>
      </c>
      <c r="N30" s="17">
        <f t="shared" si="7"/>
        <v>0</v>
      </c>
    </row>
    <row r="31" spans="1:14" ht="14.5" x14ac:dyDescent="0.35">
      <c r="A31"/>
      <c r="B31"/>
      <c r="C31"/>
      <c r="D31" s="8"/>
      <c r="E31" s="6"/>
      <c r="F31" s="6"/>
      <c r="G31" s="6"/>
      <c r="H31" s="6"/>
      <c r="I31" s="36"/>
      <c r="J31" s="42">
        <f>(SplashPage!$E$3 *D31) + (SplashPage!$E$4*E31) + (SplashPage!$E$5 *F31) + (SplashPage!$E$6 *G31) + (SplashPage!$E$7 *H31) + (SplashPage!$E$8 * I31)</f>
        <v>0</v>
      </c>
      <c r="K31" s="39">
        <f t="shared" si="4"/>
        <v>0</v>
      </c>
      <c r="L31" s="18">
        <f t="shared" si="5"/>
        <v>0</v>
      </c>
      <c r="M31" s="18">
        <f t="shared" si="6"/>
        <v>0</v>
      </c>
      <c r="N31" s="19">
        <f t="shared" si="7"/>
        <v>0</v>
      </c>
    </row>
    <row r="32" spans="1:14" ht="14.5" x14ac:dyDescent="0.35">
      <c r="A32"/>
      <c r="B32"/>
      <c r="C32"/>
      <c r="D32" s="8"/>
      <c r="E32" s="6"/>
      <c r="F32" s="6"/>
      <c r="G32" s="6"/>
      <c r="H32" s="6"/>
      <c r="I32" s="36"/>
      <c r="J32" s="42">
        <f>(SplashPage!$E$3 *D32) + (SplashPage!$E$4*E32) + (SplashPage!$E$5 *F32) + (SplashPage!$E$6 *G32) + (SplashPage!$E$7 *H32) + (SplashPage!$E$8 * I32)</f>
        <v>0</v>
      </c>
      <c r="K32" s="38">
        <f t="shared" si="4"/>
        <v>0</v>
      </c>
      <c r="L32" s="16">
        <f t="shared" si="5"/>
        <v>0</v>
      </c>
      <c r="M32" s="16">
        <f t="shared" si="6"/>
        <v>0</v>
      </c>
      <c r="N32" s="17">
        <f t="shared" si="7"/>
        <v>0</v>
      </c>
    </row>
    <row r="33" spans="1:14" ht="14.5" x14ac:dyDescent="0.35">
      <c r="A33"/>
      <c r="B33"/>
      <c r="C33"/>
      <c r="D33" s="8"/>
      <c r="E33" s="6"/>
      <c r="F33" s="6"/>
      <c r="G33" s="6"/>
      <c r="H33" s="6"/>
      <c r="I33" s="36"/>
      <c r="J33" s="42">
        <f>(SplashPage!$E$3 *D33) + (SplashPage!$E$4*E33) + (SplashPage!$E$5 *F33) + (SplashPage!$E$6 *G33) + (SplashPage!$E$7 *H33) + (SplashPage!$E$8 * I33)</f>
        <v>0</v>
      </c>
      <c r="K33" s="39">
        <f t="shared" si="4"/>
        <v>0</v>
      </c>
      <c r="L33" s="18">
        <f t="shared" si="5"/>
        <v>0</v>
      </c>
      <c r="M33" s="18">
        <f t="shared" si="6"/>
        <v>0</v>
      </c>
      <c r="N33" s="19">
        <f t="shared" si="7"/>
        <v>0</v>
      </c>
    </row>
    <row r="34" spans="1:14" ht="14.5" x14ac:dyDescent="0.35">
      <c r="A34"/>
      <c r="B34"/>
      <c r="C34"/>
      <c r="D34" s="8"/>
      <c r="E34" s="6"/>
      <c r="F34" s="6"/>
      <c r="G34" s="6"/>
      <c r="H34" s="6"/>
      <c r="I34" s="36"/>
      <c r="J34" s="42">
        <f>(SplashPage!$E$3 *D34) + (SplashPage!$E$4*E34) + (SplashPage!$E$5 *F34) + (SplashPage!$E$6 *G34) + (SplashPage!$E$7 *H34) + (SplashPage!$E$8 * I34)</f>
        <v>0</v>
      </c>
      <c r="K34" s="38">
        <f t="shared" si="4"/>
        <v>0</v>
      </c>
      <c r="L34" s="16">
        <f t="shared" si="5"/>
        <v>0</v>
      </c>
      <c r="M34" s="16">
        <f t="shared" si="6"/>
        <v>0</v>
      </c>
      <c r="N34" s="17">
        <f t="shared" si="7"/>
        <v>0</v>
      </c>
    </row>
    <row r="35" spans="1:14" ht="14.5" x14ac:dyDescent="0.35">
      <c r="A35"/>
      <c r="B35"/>
      <c r="C35"/>
      <c r="D35" s="8"/>
      <c r="E35" s="6"/>
      <c r="F35" s="6"/>
      <c r="G35" s="6"/>
      <c r="H35" s="6"/>
      <c r="I35" s="36"/>
      <c r="J35" s="42">
        <f>(SplashPage!$E$3 *D35) + (SplashPage!$E$4*E35) + (SplashPage!$E$5 *F35) + (SplashPage!$E$6 *G35) + (SplashPage!$E$7 *H35) + (SplashPage!$E$8 * I35)</f>
        <v>0</v>
      </c>
      <c r="K35" s="39">
        <f t="shared" si="4"/>
        <v>0</v>
      </c>
      <c r="L35" s="18">
        <f t="shared" si="5"/>
        <v>0</v>
      </c>
      <c r="M35" s="18">
        <f t="shared" si="6"/>
        <v>0</v>
      </c>
      <c r="N35" s="19">
        <f t="shared" si="7"/>
        <v>0</v>
      </c>
    </row>
    <row r="36" spans="1:14" ht="14.5" x14ac:dyDescent="0.35">
      <c r="A36"/>
      <c r="B36"/>
      <c r="C36"/>
      <c r="D36" s="8"/>
      <c r="E36" s="6"/>
      <c r="F36" s="6"/>
      <c r="G36" s="6"/>
      <c r="H36" s="6"/>
      <c r="I36" s="36"/>
      <c r="J36" s="42">
        <f>(SplashPage!$E$3 *D36) + (SplashPage!$E$4*E36) + (SplashPage!$E$5 *F36) + (SplashPage!$E$6 *G36) + (SplashPage!$E$7 *H36) + (SplashPage!$E$8 * I36)</f>
        <v>0</v>
      </c>
      <c r="K36" s="38">
        <f t="shared" si="4"/>
        <v>0</v>
      </c>
      <c r="L36" s="16">
        <f t="shared" si="5"/>
        <v>0</v>
      </c>
      <c r="M36" s="16">
        <f t="shared" si="6"/>
        <v>0</v>
      </c>
      <c r="N36" s="17">
        <f t="shared" si="7"/>
        <v>0</v>
      </c>
    </row>
    <row r="37" spans="1:14" ht="14.5" x14ac:dyDescent="0.35">
      <c r="A37"/>
      <c r="B37"/>
      <c r="C37"/>
      <c r="D37" s="8"/>
      <c r="E37" s="6"/>
      <c r="F37" s="6"/>
      <c r="G37" s="6"/>
      <c r="H37" s="6"/>
      <c r="I37" s="36"/>
      <c r="J37" s="42">
        <f>(SplashPage!$E$3 *D37) + (SplashPage!$E$4*E37) + (SplashPage!$E$5 *F37) + (SplashPage!$E$6 *G37) + (SplashPage!$E$7 *H37) + (SplashPage!$E$8 * I37)</f>
        <v>0</v>
      </c>
      <c r="K37" s="39">
        <f t="shared" si="4"/>
        <v>0</v>
      </c>
      <c r="L37" s="18">
        <f t="shared" si="5"/>
        <v>0</v>
      </c>
      <c r="M37" s="18">
        <f t="shared" si="6"/>
        <v>0</v>
      </c>
      <c r="N37" s="19">
        <f t="shared" si="7"/>
        <v>0</v>
      </c>
    </row>
    <row r="38" spans="1:14" ht="14.5" x14ac:dyDescent="0.35">
      <c r="A38"/>
      <c r="B38"/>
      <c r="C38"/>
      <c r="D38" s="8"/>
      <c r="E38" s="6"/>
      <c r="F38" s="6"/>
      <c r="G38" s="6"/>
      <c r="H38" s="6"/>
      <c r="I38" s="36"/>
      <c r="J38" s="42">
        <f>(SplashPage!$E$3 *D38) + (SplashPage!$E$4*E38) + (SplashPage!$E$5 *F38) + (SplashPage!$E$6 *G38) + (SplashPage!$E$7 *H38) + (SplashPage!$E$8 * I38)</f>
        <v>0</v>
      </c>
      <c r="K38" s="38">
        <f t="shared" si="4"/>
        <v>0</v>
      </c>
      <c r="L38" s="16">
        <f t="shared" si="5"/>
        <v>0</v>
      </c>
      <c r="M38" s="16">
        <f t="shared" si="6"/>
        <v>0</v>
      </c>
      <c r="N38" s="17">
        <f t="shared" si="7"/>
        <v>0</v>
      </c>
    </row>
    <row r="39" spans="1:14" ht="14.5" x14ac:dyDescent="0.35">
      <c r="A39"/>
      <c r="B39"/>
      <c r="C39"/>
      <c r="D39" s="8"/>
      <c r="E39" s="6"/>
      <c r="F39" s="6"/>
      <c r="G39" s="6"/>
      <c r="H39" s="6"/>
      <c r="I39" s="36"/>
      <c r="J39" s="42">
        <f>(SplashPage!$E$3 *D39) + (SplashPage!$E$4*E39) + (SplashPage!$E$5 *F39) + (SplashPage!$E$6 *G39) + (SplashPage!$E$7 *H39) + (SplashPage!$E$8 * I39)</f>
        <v>0</v>
      </c>
      <c r="K39" s="39">
        <f t="shared" si="4"/>
        <v>0</v>
      </c>
      <c r="L39" s="18">
        <f t="shared" si="5"/>
        <v>0</v>
      </c>
      <c r="M39" s="18">
        <f t="shared" si="6"/>
        <v>0</v>
      </c>
      <c r="N39" s="19">
        <f t="shared" si="7"/>
        <v>0</v>
      </c>
    </row>
    <row r="40" spans="1:14" ht="14.5" x14ac:dyDescent="0.35">
      <c r="A40"/>
      <c r="B40"/>
      <c r="C40"/>
      <c r="D40" s="8"/>
      <c r="E40" s="6"/>
      <c r="F40" s="6"/>
      <c r="G40" s="6"/>
      <c r="H40" s="6"/>
      <c r="I40" s="36"/>
      <c r="J40" s="42">
        <f>(SplashPage!$E$3 *D40) + (SplashPage!$E$4*E40) + (SplashPage!$E$5 *F40) + (SplashPage!$E$6 *G40) + (SplashPage!$E$7 *H40) + (SplashPage!$E$8 * I40)</f>
        <v>0</v>
      </c>
      <c r="K40" s="38">
        <f t="shared" si="4"/>
        <v>0</v>
      </c>
      <c r="L40" s="16">
        <f t="shared" si="5"/>
        <v>0</v>
      </c>
      <c r="M40" s="16">
        <f t="shared" si="6"/>
        <v>0</v>
      </c>
      <c r="N40" s="17">
        <f t="shared" si="7"/>
        <v>0</v>
      </c>
    </row>
    <row r="41" spans="1:14" ht="14.5" x14ac:dyDescent="0.35">
      <c r="A41"/>
      <c r="B41"/>
      <c r="C41"/>
      <c r="D41" s="8"/>
      <c r="E41" s="6"/>
      <c r="F41" s="6"/>
      <c r="G41" s="6"/>
      <c r="H41" s="6"/>
      <c r="I41" s="36"/>
      <c r="J41" s="42">
        <f>(SplashPage!$E$3 *D41) + (SplashPage!$E$4*E41) + (SplashPage!$E$5 *F41) + (SplashPage!$E$6 *G41) + (SplashPage!$E$7 *H41) + (SplashPage!$E$8 * I41)</f>
        <v>0</v>
      </c>
      <c r="K41" s="39">
        <f t="shared" si="4"/>
        <v>0</v>
      </c>
      <c r="L41" s="18">
        <f t="shared" si="5"/>
        <v>0</v>
      </c>
      <c r="M41" s="18">
        <f t="shared" si="6"/>
        <v>0</v>
      </c>
      <c r="N41" s="19">
        <f t="shared" si="7"/>
        <v>0</v>
      </c>
    </row>
    <row r="42" spans="1:14" ht="14.5" x14ac:dyDescent="0.35">
      <c r="A42"/>
      <c r="B42"/>
      <c r="C42"/>
      <c r="D42" s="8"/>
      <c r="E42" s="6"/>
      <c r="F42" s="6"/>
      <c r="G42" s="6"/>
      <c r="H42" s="6"/>
      <c r="I42" s="36"/>
      <c r="J42" s="42">
        <f>(SplashPage!$E$3 *D42) + (SplashPage!$E$4*E42) + (SplashPage!$E$5 *F42) + (SplashPage!$E$6 *G42) + (SplashPage!$E$7 *H42) + (SplashPage!$E$8 * I42)</f>
        <v>0</v>
      </c>
      <c r="K42" s="38">
        <f t="shared" si="4"/>
        <v>0</v>
      </c>
      <c r="L42" s="16">
        <f t="shared" si="5"/>
        <v>0</v>
      </c>
      <c r="M42" s="16">
        <f t="shared" si="6"/>
        <v>0</v>
      </c>
      <c r="N42" s="17">
        <f t="shared" si="7"/>
        <v>0</v>
      </c>
    </row>
    <row r="43" spans="1:14" ht="14.5" x14ac:dyDescent="0.35">
      <c r="A43"/>
      <c r="B43"/>
      <c r="C43"/>
      <c r="D43" s="8"/>
      <c r="E43" s="6"/>
      <c r="F43" s="6"/>
      <c r="G43" s="6"/>
      <c r="H43" s="6"/>
      <c r="I43" s="36"/>
      <c r="J43" s="42">
        <f>(SplashPage!$E$3 *D43) + (SplashPage!$E$4*E43) + (SplashPage!$E$5 *F43) + (SplashPage!$E$6 *G43) + (SplashPage!$E$7 *H43) + (SplashPage!$E$8 * I43)</f>
        <v>0</v>
      </c>
      <c r="K43" s="39">
        <f t="shared" si="4"/>
        <v>0</v>
      </c>
      <c r="L43" s="18">
        <f t="shared" si="5"/>
        <v>0</v>
      </c>
      <c r="M43" s="18">
        <f t="shared" si="6"/>
        <v>0</v>
      </c>
      <c r="N43" s="19">
        <f t="shared" si="7"/>
        <v>0</v>
      </c>
    </row>
    <row r="44" spans="1:14" ht="14.5" x14ac:dyDescent="0.35">
      <c r="A44"/>
      <c r="B44"/>
      <c r="C44"/>
      <c r="D44" s="8"/>
      <c r="E44" s="6"/>
      <c r="F44" s="6"/>
      <c r="G44" s="6"/>
      <c r="H44" s="6"/>
      <c r="I44" s="36"/>
      <c r="J44" s="42">
        <f>(SplashPage!$E$3 *D44) + (SplashPage!$E$4*E44) + (SplashPage!$E$5 *F44) + (SplashPage!$E$6 *G44) + (SplashPage!$E$7 *H44) + (SplashPage!$E$8 * I44)</f>
        <v>0</v>
      </c>
      <c r="K44" s="38">
        <f t="shared" si="4"/>
        <v>0</v>
      </c>
      <c r="L44" s="16">
        <f t="shared" si="5"/>
        <v>0</v>
      </c>
      <c r="M44" s="16">
        <f t="shared" si="6"/>
        <v>0</v>
      </c>
      <c r="N44" s="17">
        <f t="shared" si="7"/>
        <v>0</v>
      </c>
    </row>
    <row r="45" spans="1:14" ht="14.5" x14ac:dyDescent="0.35">
      <c r="A45"/>
      <c r="B45"/>
      <c r="C45"/>
      <c r="D45" s="8"/>
      <c r="E45" s="6"/>
      <c r="F45" s="6"/>
      <c r="G45" s="6"/>
      <c r="H45" s="6"/>
      <c r="I45" s="36"/>
      <c r="J45" s="42">
        <f>(SplashPage!$E$3 *D45) + (SplashPage!$E$4*E45) + (SplashPage!$E$5 *F45) + (SplashPage!$E$6 *G45) + (SplashPage!$E$7 *H45) + (SplashPage!$E$8 * I45)</f>
        <v>0</v>
      </c>
      <c r="K45" s="39">
        <f t="shared" si="4"/>
        <v>0</v>
      </c>
      <c r="L45" s="18">
        <f t="shared" si="5"/>
        <v>0</v>
      </c>
      <c r="M45" s="18">
        <f t="shared" si="6"/>
        <v>0</v>
      </c>
      <c r="N45" s="19">
        <f t="shared" si="7"/>
        <v>0</v>
      </c>
    </row>
    <row r="46" spans="1:14" ht="14.5" x14ac:dyDescent="0.35">
      <c r="A46"/>
      <c r="B46"/>
      <c r="C46"/>
      <c r="D46" s="8"/>
      <c r="E46" s="6"/>
      <c r="F46" s="6"/>
      <c r="G46" s="6"/>
      <c r="H46" s="6"/>
      <c r="I46" s="36"/>
      <c r="J46" s="42">
        <f>(SplashPage!$E$3 *D46) + (SplashPage!$E$4*E46) + (SplashPage!$E$5 *F46) + (SplashPage!$E$6 *G46) + (SplashPage!$E$7 *H46) + (SplashPage!$E$8 * I46)</f>
        <v>0</v>
      </c>
      <c r="K46" s="38">
        <f t="shared" si="4"/>
        <v>0</v>
      </c>
      <c r="L46" s="16">
        <f t="shared" si="5"/>
        <v>0</v>
      </c>
      <c r="M46" s="16">
        <f t="shared" si="6"/>
        <v>0</v>
      </c>
      <c r="N46" s="17">
        <f t="shared" si="7"/>
        <v>0</v>
      </c>
    </row>
    <row r="47" spans="1:14" ht="14.5" x14ac:dyDescent="0.35">
      <c r="A47"/>
      <c r="B47"/>
      <c r="C47"/>
      <c r="D47" s="8"/>
      <c r="E47" s="6"/>
      <c r="F47" s="6"/>
      <c r="G47" s="6"/>
      <c r="H47" s="6"/>
      <c r="I47" s="36"/>
      <c r="J47" s="42">
        <f>(SplashPage!$E$3 *D47) + (SplashPage!$E$4*E47) + (SplashPage!$E$5 *F47) + (SplashPage!$E$6 *G47) + (SplashPage!$E$7 *H47) + (SplashPage!$E$8 * I47)</f>
        <v>0</v>
      </c>
      <c r="K47" s="39">
        <f t="shared" si="4"/>
        <v>0</v>
      </c>
      <c r="L47" s="18">
        <f t="shared" si="5"/>
        <v>0</v>
      </c>
      <c r="M47" s="18">
        <f t="shared" si="6"/>
        <v>0</v>
      </c>
      <c r="N47" s="19">
        <f t="shared" si="7"/>
        <v>0</v>
      </c>
    </row>
    <row r="48" spans="1:14" ht="14.5" x14ac:dyDescent="0.35">
      <c r="A48"/>
      <c r="B48"/>
      <c r="C48"/>
      <c r="D48" s="8"/>
      <c r="E48" s="6"/>
      <c r="F48" s="6"/>
      <c r="G48" s="6"/>
      <c r="H48" s="6"/>
      <c r="I48" s="36"/>
      <c r="J48" s="42">
        <f>(SplashPage!$E$3 *D48) + (SplashPage!$E$4*E48) + (SplashPage!$E$5 *F48) + (SplashPage!$E$6 *G48) + (SplashPage!$E$7 *H48) + (SplashPage!$E$8 * I48)</f>
        <v>0</v>
      </c>
      <c r="K48" s="38">
        <f t="shared" si="4"/>
        <v>0</v>
      </c>
      <c r="L48" s="16">
        <f t="shared" si="5"/>
        <v>0</v>
      </c>
      <c r="M48" s="16">
        <f t="shared" si="6"/>
        <v>0</v>
      </c>
      <c r="N48" s="17">
        <f t="shared" si="7"/>
        <v>0</v>
      </c>
    </row>
    <row r="49" spans="1:14" ht="14.5" x14ac:dyDescent="0.35">
      <c r="A49"/>
      <c r="B49"/>
      <c r="C49"/>
      <c r="D49" s="8"/>
      <c r="E49" s="6"/>
      <c r="F49" s="6"/>
      <c r="G49" s="6"/>
      <c r="H49" s="6"/>
      <c r="I49" s="36"/>
      <c r="J49" s="42">
        <f>(SplashPage!$E$3 *D49) + (SplashPage!$E$4*E49) + (SplashPage!$E$5 *F49) + (SplashPage!$E$6 *G49) + (SplashPage!$E$7 *H49) + (SplashPage!$E$8 * I49)</f>
        <v>0</v>
      </c>
      <c r="K49" s="39">
        <f t="shared" si="4"/>
        <v>0</v>
      </c>
      <c r="L49" s="18">
        <f t="shared" si="5"/>
        <v>0</v>
      </c>
      <c r="M49" s="18">
        <f t="shared" si="6"/>
        <v>0</v>
      </c>
      <c r="N49" s="19">
        <f t="shared" si="7"/>
        <v>0</v>
      </c>
    </row>
    <row r="50" spans="1:14" ht="14.5" x14ac:dyDescent="0.35">
      <c r="A50"/>
      <c r="B50"/>
      <c r="C50"/>
      <c r="D50" s="8"/>
      <c r="E50" s="6"/>
      <c r="F50" s="6"/>
      <c r="G50" s="6"/>
      <c r="H50" s="6"/>
      <c r="I50" s="36"/>
      <c r="J50" s="42">
        <f>(SplashPage!$E$3 *D50) + (SplashPage!$E$4*E50) + (SplashPage!$E$5 *F50) + (SplashPage!$E$6 *G50) + (SplashPage!$E$7 *H50) + (SplashPage!$E$8 * I50)</f>
        <v>0</v>
      </c>
      <c r="K50" s="38">
        <f t="shared" si="4"/>
        <v>0</v>
      </c>
      <c r="L50" s="16">
        <f t="shared" si="5"/>
        <v>0</v>
      </c>
      <c r="M50" s="16">
        <f t="shared" si="6"/>
        <v>0</v>
      </c>
      <c r="N50" s="17">
        <f t="shared" si="7"/>
        <v>0</v>
      </c>
    </row>
    <row r="51" spans="1:14" ht="14.5" x14ac:dyDescent="0.35">
      <c r="A51"/>
      <c r="B51"/>
      <c r="C51"/>
      <c r="D51" s="8"/>
      <c r="E51" s="6"/>
      <c r="F51" s="6"/>
      <c r="G51" s="6"/>
      <c r="H51" s="6"/>
      <c r="I51" s="36"/>
      <c r="J51" s="42">
        <f>(SplashPage!$E$3 *D51) + (SplashPage!$E$4*E51) + (SplashPage!$E$5 *F51) + (SplashPage!$E$6 *G51) + (SplashPage!$E$7 *H51) + (SplashPage!$E$8 * I51)</f>
        <v>0</v>
      </c>
      <c r="K51" s="39">
        <f t="shared" si="4"/>
        <v>0</v>
      </c>
      <c r="L51" s="18">
        <f t="shared" si="5"/>
        <v>0</v>
      </c>
      <c r="M51" s="18">
        <f t="shared" si="6"/>
        <v>0</v>
      </c>
      <c r="N51" s="19">
        <f t="shared" si="7"/>
        <v>0</v>
      </c>
    </row>
    <row r="52" spans="1:14" ht="14.5" x14ac:dyDescent="0.35">
      <c r="A52"/>
      <c r="B52"/>
      <c r="C52"/>
      <c r="D52" s="8"/>
      <c r="E52" s="6"/>
      <c r="F52" s="6"/>
      <c r="G52" s="6"/>
      <c r="H52" s="6"/>
      <c r="I52" s="36"/>
      <c r="J52" s="42">
        <f>(SplashPage!$E$3 *D52) + (SplashPage!$E$4*E52) + (SplashPage!$E$5 *F52) + (SplashPage!$E$6 *G52) + (SplashPage!$E$7 *H52) + (SplashPage!$E$8 * I52)</f>
        <v>0</v>
      </c>
      <c r="K52" s="38">
        <f t="shared" si="4"/>
        <v>0</v>
      </c>
      <c r="L52" s="16">
        <f t="shared" si="5"/>
        <v>0</v>
      </c>
      <c r="M52" s="16">
        <f t="shared" si="6"/>
        <v>0</v>
      </c>
      <c r="N52" s="17">
        <f t="shared" si="7"/>
        <v>0</v>
      </c>
    </row>
    <row r="53" spans="1:14" ht="14.5" x14ac:dyDescent="0.35">
      <c r="A53"/>
      <c r="B53"/>
      <c r="C53"/>
      <c r="D53" s="8"/>
      <c r="E53" s="6"/>
      <c r="F53" s="6"/>
      <c r="G53" s="6"/>
      <c r="H53" s="6"/>
      <c r="I53" s="36"/>
      <c r="J53" s="42">
        <f>(SplashPage!$E$3 *D53) + (SplashPage!$E$4*E53) + (SplashPage!$E$5 *F53) + (SplashPage!$E$6 *G53) + (SplashPage!$E$7 *H53) + (SplashPage!$E$8 * I53)</f>
        <v>0</v>
      </c>
      <c r="K53" s="39">
        <f t="shared" si="4"/>
        <v>0</v>
      </c>
      <c r="L53" s="18">
        <f t="shared" si="5"/>
        <v>0</v>
      </c>
      <c r="M53" s="18">
        <f t="shared" si="6"/>
        <v>0</v>
      </c>
      <c r="N53" s="19">
        <f t="shared" si="7"/>
        <v>0</v>
      </c>
    </row>
    <row r="54" spans="1:14" ht="14.5" x14ac:dyDescent="0.35">
      <c r="A54"/>
      <c r="B54"/>
      <c r="C54"/>
      <c r="D54" s="8"/>
      <c r="E54" s="6"/>
      <c r="F54" s="6"/>
      <c r="G54" s="6"/>
      <c r="H54" s="6"/>
      <c r="I54" s="36"/>
      <c r="J54" s="42">
        <f>(SplashPage!$E$3 *D54) + (SplashPage!$E$4*E54) + (SplashPage!$E$5 *F54) + (SplashPage!$E$6 *G54) + (SplashPage!$E$7 *H54) + (SplashPage!$E$8 * I54)</f>
        <v>0</v>
      </c>
      <c r="K54" s="38">
        <f t="shared" si="4"/>
        <v>0</v>
      </c>
      <c r="L54" s="16">
        <f t="shared" si="5"/>
        <v>0</v>
      </c>
      <c r="M54" s="16">
        <f t="shared" si="6"/>
        <v>0</v>
      </c>
      <c r="N54" s="17">
        <f t="shared" si="7"/>
        <v>0</v>
      </c>
    </row>
    <row r="55" spans="1:14" ht="14.5" x14ac:dyDescent="0.35">
      <c r="A55"/>
      <c r="B55"/>
      <c r="C55"/>
      <c r="D55" s="8"/>
      <c r="E55" s="6"/>
      <c r="F55" s="6"/>
      <c r="G55" s="6"/>
      <c r="H55" s="6"/>
      <c r="I55" s="36"/>
      <c r="J55" s="42">
        <f>(SplashPage!$E$3 *D55) + (SplashPage!$E$4*E55) + (SplashPage!$E$5 *F55) + (SplashPage!$E$6 *G55) + (SplashPage!$E$7 *H55) + (SplashPage!$E$8 * I55)</f>
        <v>0</v>
      </c>
      <c r="K55" s="39">
        <f t="shared" si="4"/>
        <v>0</v>
      </c>
      <c r="L55" s="18">
        <f t="shared" si="5"/>
        <v>0</v>
      </c>
      <c r="M55" s="18">
        <f t="shared" si="6"/>
        <v>0</v>
      </c>
      <c r="N55" s="19">
        <f t="shared" si="7"/>
        <v>0</v>
      </c>
    </row>
    <row r="56" spans="1:14" ht="14.5" x14ac:dyDescent="0.35">
      <c r="A56"/>
      <c r="B56"/>
      <c r="C56"/>
      <c r="D56" s="8"/>
      <c r="E56" s="6"/>
      <c r="F56" s="6"/>
      <c r="G56" s="6"/>
      <c r="H56" s="6"/>
      <c r="I56" s="36"/>
      <c r="J56" s="42">
        <f>(SplashPage!$E$3 *D56) + (SplashPage!$E$4*E56) + (SplashPage!$E$5 *F56) + (SplashPage!$E$6 *G56) + (SplashPage!$E$7 *H56) + (SplashPage!$E$8 * I56)</f>
        <v>0</v>
      </c>
      <c r="K56" s="38">
        <f xml:space="preserve"> FLOOR(J56/20, 1)</f>
        <v>0</v>
      </c>
      <c r="L56" s="16">
        <f t="shared" si="5"/>
        <v>0</v>
      </c>
      <c r="M56" s="16">
        <f t="shared" si="6"/>
        <v>0</v>
      </c>
      <c r="N56" s="17">
        <f t="shared" si="7"/>
        <v>0</v>
      </c>
    </row>
    <row r="57" spans="1:14" ht="14.5" x14ac:dyDescent="0.35">
      <c r="A57"/>
      <c r="B57"/>
      <c r="C57"/>
      <c r="D57" s="8"/>
      <c r="E57" s="6"/>
      <c r="F57" s="6"/>
      <c r="G57" s="6"/>
      <c r="H57" s="6"/>
      <c r="I57" s="36"/>
      <c r="J57" s="42">
        <f>(SplashPage!$E$3 *D57) + (SplashPage!$E$4*E57) + (SplashPage!$E$5 *F57) + (SplashPage!$E$6 *G57) + (SplashPage!$E$7 *H57) + (SplashPage!$E$8 * I57)</f>
        <v>0</v>
      </c>
      <c r="K57" s="39">
        <f t="shared" si="4"/>
        <v>0</v>
      </c>
      <c r="L57" s="18">
        <f t="shared" si="5"/>
        <v>0</v>
      </c>
      <c r="M57" s="18">
        <f t="shared" si="6"/>
        <v>0</v>
      </c>
      <c r="N57" s="19">
        <f t="shared" si="7"/>
        <v>0</v>
      </c>
    </row>
    <row r="58" spans="1:14" ht="14.5" x14ac:dyDescent="0.35">
      <c r="A58"/>
      <c r="B58"/>
      <c r="C58"/>
      <c r="D58" s="8"/>
      <c r="E58" s="6"/>
      <c r="F58" s="6"/>
      <c r="G58" s="6"/>
      <c r="H58" s="6"/>
      <c r="I58" s="36"/>
      <c r="J58" s="42">
        <f>(SplashPage!$E$3 *D58) + (SplashPage!$E$4*E58) + (SplashPage!$E$5 *F58) + (SplashPage!$E$6 *G58) + (SplashPage!$E$7 *H58) + (SplashPage!$E$8 * I58)</f>
        <v>0</v>
      </c>
      <c r="K58" s="38">
        <f t="shared" si="4"/>
        <v>0</v>
      </c>
      <c r="L58" s="16">
        <f t="shared" si="5"/>
        <v>0</v>
      </c>
      <c r="M58" s="16">
        <f t="shared" si="6"/>
        <v>0</v>
      </c>
      <c r="N58" s="17">
        <f t="shared" si="7"/>
        <v>0</v>
      </c>
    </row>
    <row r="59" spans="1:14" ht="14.5" x14ac:dyDescent="0.35">
      <c r="A59"/>
      <c r="B59"/>
      <c r="C59"/>
      <c r="D59" s="8"/>
      <c r="E59" s="6"/>
      <c r="F59" s="6"/>
      <c r="G59" s="6"/>
      <c r="H59" s="6"/>
      <c r="I59" s="36"/>
      <c r="J59" s="42">
        <f>(SplashPage!$E$3 *D59) + (SplashPage!$E$4*E59) + (SplashPage!$E$5 *F59) + (SplashPage!$E$6 *G59) + (SplashPage!$E$7 *H59) + (SplashPage!$E$8 * I59)</f>
        <v>0</v>
      </c>
      <c r="K59" s="39">
        <f t="shared" si="4"/>
        <v>0</v>
      </c>
      <c r="L59" s="18">
        <f t="shared" si="5"/>
        <v>0</v>
      </c>
      <c r="M59" s="18">
        <f t="shared" si="6"/>
        <v>0</v>
      </c>
      <c r="N59" s="19">
        <f t="shared" si="7"/>
        <v>0</v>
      </c>
    </row>
    <row r="60" spans="1:14" ht="14.5" x14ac:dyDescent="0.35">
      <c r="A60"/>
      <c r="B60"/>
      <c r="C60"/>
      <c r="D60" s="8"/>
      <c r="E60" s="6"/>
      <c r="F60" s="6"/>
      <c r="G60" s="6"/>
      <c r="H60" s="6"/>
      <c r="I60" s="36"/>
      <c r="J60" s="42">
        <f>(SplashPage!$E$3 *D60) + (SplashPage!$E$4*E60) + (SplashPage!$E$5 *F60) + (SplashPage!$E$6 *G60) + (SplashPage!$E$7 *H60) + (SplashPage!$E$8 * I60)</f>
        <v>0</v>
      </c>
      <c r="K60" s="38">
        <f t="shared" si="4"/>
        <v>0</v>
      </c>
      <c r="L60" s="16">
        <f t="shared" si="5"/>
        <v>0</v>
      </c>
      <c r="M60" s="16">
        <f t="shared" si="6"/>
        <v>0</v>
      </c>
      <c r="N60" s="17">
        <f t="shared" si="7"/>
        <v>0</v>
      </c>
    </row>
    <row r="61" spans="1:14" ht="14.5" x14ac:dyDescent="0.35">
      <c r="A61"/>
      <c r="B61"/>
      <c r="C61"/>
      <c r="D61" s="8"/>
      <c r="E61" s="6"/>
      <c r="F61" s="6"/>
      <c r="G61" s="6"/>
      <c r="H61" s="6"/>
      <c r="I61" s="36"/>
      <c r="J61" s="42">
        <f>(SplashPage!$E$3 *D61) + (SplashPage!$E$4*E61) + (SplashPage!$E$5 *F61) + (SplashPage!$E$6 *G61) + (SplashPage!$E$7 *H61) + (SplashPage!$E$8 * I61)</f>
        <v>0</v>
      </c>
      <c r="K61" s="39">
        <f t="shared" si="4"/>
        <v>0</v>
      </c>
      <c r="L61" s="18">
        <f t="shared" si="5"/>
        <v>0</v>
      </c>
      <c r="M61" s="18">
        <f t="shared" si="6"/>
        <v>0</v>
      </c>
      <c r="N61" s="19">
        <f t="shared" si="7"/>
        <v>0</v>
      </c>
    </row>
    <row r="62" spans="1:14" ht="14.5" x14ac:dyDescent="0.35">
      <c r="A62"/>
      <c r="B62"/>
      <c r="C62"/>
      <c r="D62" s="8"/>
      <c r="E62" s="6"/>
      <c r="F62" s="6"/>
      <c r="G62" s="6"/>
      <c r="H62" s="6"/>
      <c r="I62" s="36"/>
      <c r="J62" s="42">
        <f>(SplashPage!$E$3 *D62) + (SplashPage!$E$4*E62) + (SplashPage!$E$5 *F62) + (SplashPage!$E$6 *G62) + (SplashPage!$E$7 *H62) + (SplashPage!$E$8 * I62)</f>
        <v>0</v>
      </c>
      <c r="K62" s="38">
        <f t="shared" si="4"/>
        <v>0</v>
      </c>
      <c r="L62" s="16">
        <f t="shared" si="5"/>
        <v>0</v>
      </c>
      <c r="M62" s="16">
        <f t="shared" si="6"/>
        <v>0</v>
      </c>
      <c r="N62" s="17">
        <f t="shared" si="7"/>
        <v>0</v>
      </c>
    </row>
    <row r="63" spans="1:14" ht="14.5" x14ac:dyDescent="0.35">
      <c r="A63"/>
      <c r="B63"/>
      <c r="C63"/>
      <c r="D63" s="8"/>
      <c r="E63" s="6"/>
      <c r="F63" s="6"/>
      <c r="G63" s="6"/>
      <c r="H63" s="6"/>
      <c r="I63" s="36"/>
      <c r="J63" s="42">
        <f>(SplashPage!$E$3 *D63) + (SplashPage!$E$4*E63) + (SplashPage!$E$5 *F63) + (SplashPage!$E$6 *G63) + (SplashPage!$E$7 *H63) + (SplashPage!$E$8 * I63)</f>
        <v>0</v>
      </c>
      <c r="K63" s="39">
        <f t="shared" si="4"/>
        <v>0</v>
      </c>
      <c r="L63" s="18">
        <f t="shared" si="5"/>
        <v>0</v>
      </c>
      <c r="M63" s="18">
        <f t="shared" si="6"/>
        <v>0</v>
      </c>
      <c r="N63" s="19">
        <f t="shared" si="7"/>
        <v>0</v>
      </c>
    </row>
    <row r="64" spans="1:14" ht="14.5" x14ac:dyDescent="0.35">
      <c r="A64"/>
      <c r="B64"/>
      <c r="C64"/>
      <c r="D64" s="8"/>
      <c r="E64" s="6"/>
      <c r="F64" s="6"/>
      <c r="G64" s="6"/>
      <c r="H64" s="6"/>
      <c r="I64" s="36"/>
      <c r="J64" s="42">
        <f>(SplashPage!$E$3 *D64) + (SplashPage!$E$4*E64) + (SplashPage!$E$5 *F64) + (SplashPage!$E$6 *G64) + (SplashPage!$E$7 *H64) + (SplashPage!$E$8 * I64)</f>
        <v>0</v>
      </c>
      <c r="K64" s="38">
        <f t="shared" si="4"/>
        <v>0</v>
      </c>
      <c r="L64" s="16">
        <f t="shared" si="5"/>
        <v>0</v>
      </c>
      <c r="M64" s="16">
        <f t="shared" si="6"/>
        <v>0</v>
      </c>
      <c r="N64" s="17">
        <f t="shared" si="7"/>
        <v>0</v>
      </c>
    </row>
    <row r="65" spans="1:14" ht="14.5" x14ac:dyDescent="0.35">
      <c r="A65"/>
      <c r="B65"/>
      <c r="C65"/>
      <c r="D65" s="8"/>
      <c r="E65" s="6"/>
      <c r="F65" s="6"/>
      <c r="G65" s="6"/>
      <c r="H65" s="6"/>
      <c r="I65" s="36"/>
      <c r="J65" s="42">
        <f>(SplashPage!$E$3 *D65) + (SplashPage!$E$4*E65) + (SplashPage!$E$5 *F65) + (SplashPage!$E$6 *G65) + (SplashPage!$E$7 *H65) + (SplashPage!$E$8 * I65)</f>
        <v>0</v>
      </c>
      <c r="K65" s="39">
        <f t="shared" si="4"/>
        <v>0</v>
      </c>
      <c r="L65" s="18">
        <f t="shared" si="5"/>
        <v>0</v>
      </c>
      <c r="M65" s="18">
        <f t="shared" si="6"/>
        <v>0</v>
      </c>
      <c r="N65" s="19">
        <f t="shared" si="7"/>
        <v>0</v>
      </c>
    </row>
    <row r="66" spans="1:14" ht="14.5" x14ac:dyDescent="0.35">
      <c r="A66"/>
      <c r="B66"/>
      <c r="C66"/>
      <c r="D66" s="8"/>
      <c r="E66" s="6"/>
      <c r="F66" s="6"/>
      <c r="G66" s="6"/>
      <c r="H66" s="6"/>
      <c r="I66" s="36"/>
      <c r="J66" s="42">
        <f>(SplashPage!$E$3 *D66) + (SplashPage!$E$4*E66) + (SplashPage!$E$5 *F66) + (SplashPage!$E$6 *G66) + (SplashPage!$E$7 *H66) + (SplashPage!$E$8 * I66)</f>
        <v>0</v>
      </c>
      <c r="K66" s="38">
        <f t="shared" si="4"/>
        <v>0</v>
      </c>
      <c r="L66" s="16">
        <f t="shared" si="5"/>
        <v>0</v>
      </c>
      <c r="M66" s="16">
        <f t="shared" si="6"/>
        <v>0</v>
      </c>
      <c r="N66" s="17">
        <f t="shared" si="7"/>
        <v>0</v>
      </c>
    </row>
    <row r="67" spans="1:14" ht="14.5" x14ac:dyDescent="0.35">
      <c r="A67"/>
      <c r="B67"/>
      <c r="C67"/>
      <c r="D67" s="8"/>
      <c r="E67" s="6"/>
      <c r="F67" s="6"/>
      <c r="G67" s="6"/>
      <c r="H67" s="6"/>
      <c r="I67" s="36"/>
      <c r="J67" s="42">
        <f>(SplashPage!$E$3 *D67) + (SplashPage!$E$4*E67) + (SplashPage!$E$5 *F67) + (SplashPage!$E$6 *G67) + (SplashPage!$E$7 *H67) + (SplashPage!$E$8 * I67)</f>
        <v>0</v>
      </c>
      <c r="K67" s="39">
        <f t="shared" si="4"/>
        <v>0</v>
      </c>
      <c r="L67" s="18">
        <f t="shared" si="5"/>
        <v>0</v>
      </c>
      <c r="M67" s="18">
        <f t="shared" si="6"/>
        <v>0</v>
      </c>
      <c r="N67" s="19">
        <f t="shared" si="7"/>
        <v>0</v>
      </c>
    </row>
    <row r="68" spans="1:14" ht="14.5" x14ac:dyDescent="0.35">
      <c r="A68"/>
      <c r="B68"/>
      <c r="C68"/>
      <c r="D68" s="8"/>
      <c r="E68" s="6"/>
      <c r="F68" s="6"/>
      <c r="G68" s="6"/>
      <c r="H68" s="6"/>
      <c r="I68" s="36"/>
      <c r="J68" s="42">
        <f>(SplashPage!$E$3 *D68) + (SplashPage!$E$4*E68) + (SplashPage!$E$5 *F68) + (SplashPage!$E$6 *G68) + (SplashPage!$E$7 *H68) + (SplashPage!$E$8 * I68)</f>
        <v>0</v>
      </c>
      <c r="K68" s="38">
        <f t="shared" ref="K68:K79" si="8" xml:space="preserve"> FLOOR(J68/20, 1)</f>
        <v>0</v>
      </c>
      <c r="L68" s="16">
        <f t="shared" ref="L68:L79" si="9" xml:space="preserve"> FLOOR((J68 - K68*20)/10, 1)</f>
        <v>0</v>
      </c>
      <c r="M68" s="16">
        <f t="shared" ref="M68:M79" si="10" xml:space="preserve"> FLOOR((J68 - K68*20 - L68*10)/5, 1)</f>
        <v>0</v>
      </c>
      <c r="N68" s="17">
        <f t="shared" ref="N68:N79" si="11" xml:space="preserve"> FLOOR((J68 - K68*20 - L68*10 - M68 *5)/1, 1)</f>
        <v>0</v>
      </c>
    </row>
    <row r="69" spans="1:14" ht="14.5" x14ac:dyDescent="0.35">
      <c r="A69"/>
      <c r="B69"/>
      <c r="C69"/>
      <c r="D69" s="8"/>
      <c r="E69" s="6"/>
      <c r="F69" s="6"/>
      <c r="G69" s="6"/>
      <c r="H69" s="6"/>
      <c r="I69" s="36"/>
      <c r="J69" s="42">
        <f>(SplashPage!$E$3 *D69) + (SplashPage!$E$4*E69) + (SplashPage!$E$5 *F69) + (SplashPage!$E$6 *G69) + (SplashPage!$E$7 *H69) + (SplashPage!$E$8 * I69)</f>
        <v>0</v>
      </c>
      <c r="K69" s="39">
        <f t="shared" si="8"/>
        <v>0</v>
      </c>
      <c r="L69" s="18">
        <f t="shared" si="9"/>
        <v>0</v>
      </c>
      <c r="M69" s="18">
        <f t="shared" si="10"/>
        <v>0</v>
      </c>
      <c r="N69" s="19">
        <f t="shared" si="11"/>
        <v>0</v>
      </c>
    </row>
    <row r="70" spans="1:14" ht="14.5" x14ac:dyDescent="0.35">
      <c r="A70"/>
      <c r="B70"/>
      <c r="C70"/>
      <c r="D70" s="8"/>
      <c r="E70" s="6"/>
      <c r="F70" s="6"/>
      <c r="G70" s="6"/>
      <c r="H70" s="6"/>
      <c r="I70" s="36"/>
      <c r="J70" s="42">
        <f>(SplashPage!$E$3 *D70) + (SplashPage!$E$4*E70) + (SplashPage!$E$5 *F70) + (SplashPage!$E$6 *G70) + (SplashPage!$E$7 *H70) + (SplashPage!$E$8 * I70)</f>
        <v>0</v>
      </c>
      <c r="K70" s="38">
        <f t="shared" si="8"/>
        <v>0</v>
      </c>
      <c r="L70" s="16">
        <f t="shared" si="9"/>
        <v>0</v>
      </c>
      <c r="M70" s="16">
        <f t="shared" si="10"/>
        <v>0</v>
      </c>
      <c r="N70" s="17">
        <f t="shared" si="11"/>
        <v>0</v>
      </c>
    </row>
    <row r="71" spans="1:14" ht="14.5" x14ac:dyDescent="0.35">
      <c r="A71"/>
      <c r="B71"/>
      <c r="C71"/>
      <c r="D71" s="8"/>
      <c r="E71" s="6"/>
      <c r="F71" s="6"/>
      <c r="G71" s="6"/>
      <c r="H71" s="6"/>
      <c r="I71" s="36"/>
      <c r="J71" s="42">
        <f>(SplashPage!$E$3 *D71) + (SplashPage!$E$4*E71) + (SplashPage!$E$5 *F71) + (SplashPage!$E$6 *G71) + (SplashPage!$E$7 *H71) + (SplashPage!$E$8 * I71)</f>
        <v>0</v>
      </c>
      <c r="K71" s="39">
        <f t="shared" si="8"/>
        <v>0</v>
      </c>
      <c r="L71" s="18">
        <f t="shared" si="9"/>
        <v>0</v>
      </c>
      <c r="M71" s="18">
        <f t="shared" si="10"/>
        <v>0</v>
      </c>
      <c r="N71" s="19">
        <f t="shared" si="11"/>
        <v>0</v>
      </c>
    </row>
    <row r="72" spans="1:14" ht="14.5" x14ac:dyDescent="0.35">
      <c r="A72"/>
      <c r="B72"/>
      <c r="C72"/>
      <c r="D72" s="8"/>
      <c r="E72" s="6"/>
      <c r="F72" s="6"/>
      <c r="G72" s="6"/>
      <c r="H72" s="6"/>
      <c r="I72" s="36"/>
      <c r="J72" s="42">
        <f>(SplashPage!$E$3 *D72) + (SplashPage!$E$4*E72) + (SplashPage!$E$5 *F72) + (SplashPage!$E$6 *G72) + (SplashPage!$E$7 *H72) + (SplashPage!$E$8 * I72)</f>
        <v>0</v>
      </c>
      <c r="K72" s="38">
        <f t="shared" si="8"/>
        <v>0</v>
      </c>
      <c r="L72" s="16">
        <f t="shared" si="9"/>
        <v>0</v>
      </c>
      <c r="M72" s="16">
        <f t="shared" si="10"/>
        <v>0</v>
      </c>
      <c r="N72" s="17">
        <f t="shared" si="11"/>
        <v>0</v>
      </c>
    </row>
    <row r="73" spans="1:14" ht="14.5" x14ac:dyDescent="0.35">
      <c r="A73"/>
      <c r="B73"/>
      <c r="C73"/>
      <c r="D73" s="8"/>
      <c r="E73" s="6"/>
      <c r="F73" s="6"/>
      <c r="G73" s="6"/>
      <c r="H73" s="6"/>
      <c r="I73" s="36"/>
      <c r="J73" s="42">
        <f>(SplashPage!$E$3 *D73) + (SplashPage!$E$4*E73) + (SplashPage!$E$5 *F73) + (SplashPage!$E$6 *G73) + (SplashPage!$E$7 *H73) + (SplashPage!$E$8 * I73)</f>
        <v>0</v>
      </c>
      <c r="K73" s="39">
        <f t="shared" si="8"/>
        <v>0</v>
      </c>
      <c r="L73" s="18">
        <f t="shared" si="9"/>
        <v>0</v>
      </c>
      <c r="M73" s="18">
        <f t="shared" si="10"/>
        <v>0</v>
      </c>
      <c r="N73" s="19">
        <f t="shared" si="11"/>
        <v>0</v>
      </c>
    </row>
    <row r="74" spans="1:14" ht="14.5" x14ac:dyDescent="0.35">
      <c r="A74"/>
      <c r="B74"/>
      <c r="C74"/>
      <c r="D74" s="8"/>
      <c r="E74" s="6"/>
      <c r="F74" s="6"/>
      <c r="G74" s="6"/>
      <c r="H74" s="6"/>
      <c r="I74" s="36"/>
      <c r="J74" s="42">
        <f>(SplashPage!$E$3 *D74) + (SplashPage!$E$4*E74) + (SplashPage!$E$5 *F74) + (SplashPage!$E$6 *G74) + (SplashPage!$E$7 *H74) + (SplashPage!$E$8 * I74)</f>
        <v>0</v>
      </c>
      <c r="K74" s="38">
        <f t="shared" si="8"/>
        <v>0</v>
      </c>
      <c r="L74" s="16">
        <f t="shared" si="9"/>
        <v>0</v>
      </c>
      <c r="M74" s="16">
        <f t="shared" si="10"/>
        <v>0</v>
      </c>
      <c r="N74" s="17">
        <f t="shared" si="11"/>
        <v>0</v>
      </c>
    </row>
    <row r="75" spans="1:14" ht="14.5" x14ac:dyDescent="0.35">
      <c r="A75"/>
      <c r="B75"/>
      <c r="C75"/>
      <c r="D75" s="8"/>
      <c r="E75" s="6"/>
      <c r="F75" s="6"/>
      <c r="G75" s="6"/>
      <c r="H75" s="6"/>
      <c r="I75" s="36"/>
      <c r="J75" s="42">
        <f>(SplashPage!$E$3 *D75) + (SplashPage!$E$4*E75) + (SplashPage!$E$5 *F75) + (SplashPage!$E$6 *G75) + (SplashPage!$E$7 *H75) + (SplashPage!$E$8 * I75)</f>
        <v>0</v>
      </c>
      <c r="K75" s="39">
        <f t="shared" si="8"/>
        <v>0</v>
      </c>
      <c r="L75" s="18">
        <f t="shared" si="9"/>
        <v>0</v>
      </c>
      <c r="M75" s="18">
        <f t="shared" si="10"/>
        <v>0</v>
      </c>
      <c r="N75" s="19">
        <f t="shared" si="11"/>
        <v>0</v>
      </c>
    </row>
    <row r="76" spans="1:14" ht="14.5" x14ac:dyDescent="0.35">
      <c r="A76"/>
      <c r="B76"/>
      <c r="C76"/>
      <c r="D76" s="8"/>
      <c r="E76" s="6"/>
      <c r="F76" s="6"/>
      <c r="G76" s="6"/>
      <c r="H76" s="6"/>
      <c r="I76" s="36"/>
      <c r="J76" s="42">
        <f>(SplashPage!$E$3 *D76) + (SplashPage!$E$4*E76) + (SplashPage!$E$5 *F76) + (SplashPage!$E$6 *G76) + (SplashPage!$E$7 *H76) + (SplashPage!$E$8 * I76)</f>
        <v>0</v>
      </c>
      <c r="K76" s="39">
        <f t="shared" si="8"/>
        <v>0</v>
      </c>
      <c r="L76" s="16">
        <f t="shared" si="9"/>
        <v>0</v>
      </c>
      <c r="M76" s="16">
        <f t="shared" si="10"/>
        <v>0</v>
      </c>
      <c r="N76" s="17">
        <f t="shared" si="11"/>
        <v>0</v>
      </c>
    </row>
    <row r="77" spans="1:14" ht="14.5" x14ac:dyDescent="0.35">
      <c r="A77"/>
      <c r="B77"/>
      <c r="C77"/>
      <c r="D77" s="8"/>
      <c r="E77" s="6"/>
      <c r="F77" s="6"/>
      <c r="G77" s="6"/>
      <c r="H77" s="6"/>
      <c r="I77" s="36"/>
      <c r="J77" s="42">
        <f>(SplashPage!$E$3 *D77) + (SplashPage!$E$4*E77) + (SplashPage!$E$5 *F77) + (SplashPage!$E$6 *G77) + (SplashPage!$E$7 *H77) + (SplashPage!$E$8 * I77)</f>
        <v>0</v>
      </c>
      <c r="K77" s="39">
        <f t="shared" si="8"/>
        <v>0</v>
      </c>
      <c r="L77" s="18">
        <f t="shared" si="9"/>
        <v>0</v>
      </c>
      <c r="M77" s="18">
        <f t="shared" si="10"/>
        <v>0</v>
      </c>
      <c r="N77" s="19">
        <f t="shared" si="11"/>
        <v>0</v>
      </c>
    </row>
    <row r="78" spans="1:14" ht="14.5" x14ac:dyDescent="0.35">
      <c r="A78"/>
      <c r="B78"/>
      <c r="C78"/>
      <c r="D78" s="8"/>
      <c r="E78" s="6"/>
      <c r="F78" s="6"/>
      <c r="G78" s="6"/>
      <c r="H78" s="6"/>
      <c r="I78" s="36"/>
      <c r="J78" s="42">
        <f>(SplashPage!$E$3 *D78) + (SplashPage!$E$4*E78) + (SplashPage!$E$5 *F78) + (SplashPage!$E$6 *G78) + (SplashPage!$E$7 *H78) + (SplashPage!$E$8 * I78)</f>
        <v>0</v>
      </c>
      <c r="K78" s="38">
        <f t="shared" si="8"/>
        <v>0</v>
      </c>
      <c r="L78" s="16">
        <f t="shared" si="9"/>
        <v>0</v>
      </c>
      <c r="M78" s="16">
        <f t="shared" si="10"/>
        <v>0</v>
      </c>
      <c r="N78" s="17">
        <f t="shared" si="11"/>
        <v>0</v>
      </c>
    </row>
    <row r="79" spans="1:14" ht="15" thickBot="1" x14ac:dyDescent="0.4">
      <c r="A79"/>
      <c r="B79"/>
      <c r="C79"/>
      <c r="D79" s="8"/>
      <c r="E79" s="6"/>
      <c r="F79" s="6"/>
      <c r="G79" s="6"/>
      <c r="H79" s="6"/>
      <c r="I79" s="36"/>
      <c r="J79" s="42">
        <f>(SplashPage!$E$3 *D79) + (SplashPage!$E$4*E79) + (SplashPage!$E$5 *F79) + (SplashPage!$E$6 *G79) + (SplashPage!$E$7 *H79) + (SplashPage!$E$8 * I79)</f>
        <v>0</v>
      </c>
      <c r="K79" s="40">
        <f t="shared" si="8"/>
        <v>0</v>
      </c>
      <c r="L79" s="20">
        <f t="shared" si="9"/>
        <v>0</v>
      </c>
      <c r="M79" s="20">
        <f t="shared" si="10"/>
        <v>0</v>
      </c>
      <c r="N79" s="21">
        <f t="shared" si="11"/>
        <v>0</v>
      </c>
    </row>
    <row r="80" spans="1:14" ht="15" customHeight="1" thickBot="1" x14ac:dyDescent="0.35">
      <c r="A80" s="53" t="s">
        <v>23</v>
      </c>
      <c r="B80" s="54"/>
      <c r="C80" s="55"/>
      <c r="D80" s="22"/>
      <c r="E80" s="23"/>
      <c r="F80" s="23"/>
      <c r="G80" s="23"/>
      <c r="H80" s="34"/>
      <c r="I80" s="34"/>
      <c r="J80" s="34">
        <f>SUM(J2:J78)</f>
        <v>67</v>
      </c>
      <c r="K80" s="2">
        <f ca="1">SUM(INDIRECT(ADDRESS(1,COLUMN())&amp;":"&amp;ADDRESS(ROW()-1,COLUMN())))</f>
        <v>3</v>
      </c>
      <c r="L80" s="2">
        <f ca="1">SUM(INDIRECT(ADDRESS(1,COLUMN())&amp;":"&amp;ADDRESS(ROW()-1,COLUMN())))</f>
        <v>0</v>
      </c>
      <c r="M80" s="2">
        <f ca="1">SUM(INDIRECT(ADDRESS(1,COLUMN())&amp;":"&amp;ADDRESS(ROW()-1,COLUMN())))</f>
        <v>1</v>
      </c>
      <c r="N80" s="2">
        <f ca="1">SUM(INDIRECT(ADDRESS(1,COLUMN())&amp;":"&amp;ADDRESS(ROW()-1,COLUMN())))</f>
        <v>2</v>
      </c>
    </row>
  </sheetData>
  <mergeCells count="1">
    <mergeCell ref="A80:C80"/>
  </mergeCells>
  <hyperlinks>
    <hyperlink ref="C2" r:id="rId1" xr:uid="{441B1A91-17AF-4F2E-9FA4-B03E706B6AD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SplashPage</vt:lpstr>
      <vt:lpstr>Bus1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</cp:lastModifiedBy>
  <dcterms:created xsi:type="dcterms:W3CDTF">2015-06-05T18:17:20Z</dcterms:created>
  <dcterms:modified xsi:type="dcterms:W3CDTF">2019-11-30T17:30:50Z</dcterms:modified>
</cp:coreProperties>
</file>