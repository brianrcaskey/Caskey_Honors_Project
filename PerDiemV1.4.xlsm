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mc:AlternateContent xmlns:mc="http://schemas.openxmlformats.org/markup-compatibility/2006">
    <mc:Choice Requires="x15">
      <x15ac:absPath xmlns:x15ac="http://schemas.microsoft.com/office/spreadsheetml/2010/11/ac" url="https://iowastate-my.sharepoint.com/personal/brcaskey_iastate_edu/Documents/HonorsProject/"/>
    </mc:Choice>
  </mc:AlternateContent>
  <xr:revisionPtr revIDLastSave="1396" documentId="8_{339A2548-3C5D-417C-9BE2-E915E0BE8DC6}" xr6:coauthVersionLast="45" xr6:coauthVersionMax="45" xr10:uidLastSave="{D1CFD1BF-DCF4-4FE3-ADA7-7937AEC8B3EA}"/>
  <bookViews>
    <workbookView xWindow="-120" yWindow="-120" windowWidth="29040" windowHeight="15840" activeTab="1" xr2:uid="{00000000-000D-0000-FFFF-FFFF00000000}"/>
  </bookViews>
  <sheets>
    <sheet name="SplashPage" sheetId="1" r:id="rId1"/>
    <sheet name="Bus1" sheetId="2" r:id="rId2"/>
    <sheet name="Bus2" sheetId="4"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55" i="4" l="1"/>
  <c r="L55" i="4" s="1"/>
  <c r="K54" i="4"/>
  <c r="K53" i="4"/>
  <c r="K52" i="4"/>
  <c r="K51" i="4"/>
  <c r="K50" i="4"/>
  <c r="L50" i="4" s="1"/>
  <c r="M50" i="4" s="1"/>
  <c r="K49" i="4"/>
  <c r="L49" i="4" s="1"/>
  <c r="K48" i="4"/>
  <c r="L48" i="4" s="1"/>
  <c r="K47" i="4"/>
  <c r="L47" i="4" s="1"/>
  <c r="K46" i="4"/>
  <c r="K45" i="4"/>
  <c r="K44" i="4"/>
  <c r="K43" i="4"/>
  <c r="K42" i="4"/>
  <c r="K41" i="4"/>
  <c r="L41" i="4" s="1"/>
  <c r="K40" i="4"/>
  <c r="L40" i="4" s="1"/>
  <c r="K39" i="4"/>
  <c r="L39" i="4" s="1"/>
  <c r="K38" i="4"/>
  <c r="K37" i="4"/>
  <c r="K36" i="4"/>
  <c r="K35" i="4"/>
  <c r="K34" i="4"/>
  <c r="L34" i="4" s="1"/>
  <c r="K33" i="4"/>
  <c r="L33" i="4" s="1"/>
  <c r="K32" i="4"/>
  <c r="L32" i="4" s="1"/>
  <c r="K31" i="4"/>
  <c r="L31" i="4" s="1"/>
  <c r="K30" i="4"/>
  <c r="K29" i="4"/>
  <c r="K28" i="4"/>
  <c r="K27" i="4"/>
  <c r="K26" i="4"/>
  <c r="K25" i="4"/>
  <c r="L25" i="4" s="1"/>
  <c r="M25" i="4" s="1"/>
  <c r="K24" i="4"/>
  <c r="L24" i="4" s="1"/>
  <c r="K23" i="4"/>
  <c r="L23" i="4" s="1"/>
  <c r="K22" i="4"/>
  <c r="K21" i="4"/>
  <c r="K20" i="4"/>
  <c r="K19" i="4"/>
  <c r="K18" i="4"/>
  <c r="L18" i="4" s="1"/>
  <c r="K17" i="4"/>
  <c r="L17" i="4" s="1"/>
  <c r="K16" i="4"/>
  <c r="L16" i="4" s="1"/>
  <c r="K15" i="4"/>
  <c r="L15" i="4" s="1"/>
  <c r="K14" i="4"/>
  <c r="K13" i="4"/>
  <c r="K12" i="4"/>
  <c r="L12" i="4" s="1"/>
  <c r="K11" i="4"/>
  <c r="K10" i="4"/>
  <c r="L10" i="4" s="1"/>
  <c r="K9" i="4"/>
  <c r="L9" i="4" s="1"/>
  <c r="M9" i="4" s="1"/>
  <c r="K8" i="4"/>
  <c r="K7" i="4"/>
  <c r="L7" i="4" s="1"/>
  <c r="K6" i="4"/>
  <c r="K5" i="4"/>
  <c r="K4" i="4"/>
  <c r="L4" i="4" s="1"/>
  <c r="K3" i="4"/>
  <c r="K2" i="4"/>
  <c r="M34" i="4" l="1"/>
  <c r="N34" i="4" s="1"/>
  <c r="O34" i="4" s="1"/>
  <c r="N50" i="4"/>
  <c r="O50" i="4" s="1"/>
  <c r="K56" i="4"/>
  <c r="L2" i="4"/>
  <c r="M2" i="4" s="1"/>
  <c r="N2" i="4" s="1"/>
  <c r="L26" i="4"/>
  <c r="M26" i="4" s="1"/>
  <c r="N26" i="4" s="1"/>
  <c r="O26" i="4" s="1"/>
  <c r="M10" i="4"/>
  <c r="N10" i="4" s="1"/>
  <c r="O10" i="4" s="1"/>
  <c r="M18" i="4"/>
  <c r="N18" i="4" s="1"/>
  <c r="O18" i="4" s="1"/>
  <c r="L42" i="4"/>
  <c r="M42" i="4" s="1"/>
  <c r="N42" i="4" s="1"/>
  <c r="M4" i="4"/>
  <c r="N4" i="4" s="1"/>
  <c r="M12" i="4"/>
  <c r="N12" i="4" s="1"/>
  <c r="N25" i="4"/>
  <c r="O25" i="4" s="1"/>
  <c r="M17" i="4"/>
  <c r="N17" i="4" s="1"/>
  <c r="L22" i="4"/>
  <c r="M22" i="4" s="1"/>
  <c r="M7" i="4"/>
  <c r="M15" i="4"/>
  <c r="N15" i="4" s="1"/>
  <c r="O15" i="4" s="1"/>
  <c r="L20" i="4"/>
  <c r="M23" i="4"/>
  <c r="L28" i="4"/>
  <c r="M31" i="4"/>
  <c r="N31" i="4" s="1"/>
  <c r="O31" i="4" s="1"/>
  <c r="L36" i="4"/>
  <c r="M39" i="4"/>
  <c r="N39" i="4" s="1"/>
  <c r="O39" i="4" s="1"/>
  <c r="L44" i="4"/>
  <c r="M47" i="4"/>
  <c r="L52" i="4"/>
  <c r="M55" i="4"/>
  <c r="N55" i="4" s="1"/>
  <c r="L30" i="4"/>
  <c r="M30" i="4" s="1"/>
  <c r="M33" i="4"/>
  <c r="N33" i="4" s="1"/>
  <c r="O33" i="4" s="1"/>
  <c r="L38" i="4"/>
  <c r="L3" i="4"/>
  <c r="N9" i="4"/>
  <c r="O9" i="4" s="1"/>
  <c r="L11" i="4"/>
  <c r="M11" i="4" s="1"/>
  <c r="L19" i="4"/>
  <c r="L27" i="4"/>
  <c r="L35" i="4"/>
  <c r="M35" i="4" s="1"/>
  <c r="M38" i="4"/>
  <c r="L43" i="4"/>
  <c r="M43" i="4" s="1"/>
  <c r="L51" i="4"/>
  <c r="M51" i="4" s="1"/>
  <c r="N51" i="4" s="1"/>
  <c r="L6" i="4"/>
  <c r="L14" i="4"/>
  <c r="M14" i="4" s="1"/>
  <c r="M41" i="4"/>
  <c r="L46" i="4"/>
  <c r="M49" i="4"/>
  <c r="N49" i="4" s="1"/>
  <c r="L54" i="4"/>
  <c r="M3" i="4"/>
  <c r="L8" i="4"/>
  <c r="M8" i="4" s="1"/>
  <c r="L5" i="4"/>
  <c r="M5" i="4" s="1"/>
  <c r="L13" i="4"/>
  <c r="M13" i="4" s="1"/>
  <c r="M16" i="4"/>
  <c r="N16" i="4" s="1"/>
  <c r="L21" i="4"/>
  <c r="M21" i="4" s="1"/>
  <c r="M24" i="4"/>
  <c r="N24" i="4" s="1"/>
  <c r="L29" i="4"/>
  <c r="M29" i="4" s="1"/>
  <c r="N29" i="4" s="1"/>
  <c r="M32" i="4"/>
  <c r="N32" i="4" s="1"/>
  <c r="L37" i="4"/>
  <c r="M37" i="4" s="1"/>
  <c r="M40" i="4"/>
  <c r="N40" i="4" s="1"/>
  <c r="L45" i="4"/>
  <c r="M45" i="4" s="1"/>
  <c r="M48" i="4"/>
  <c r="N48" i="4" s="1"/>
  <c r="L53" i="4"/>
  <c r="M53" i="4" s="1"/>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2" i="2"/>
  <c r="L56" i="4"/>
  <c r="N22" i="4" l="1"/>
  <c r="O22" i="4" s="1"/>
  <c r="N13" i="4"/>
  <c r="O13" i="4" s="1"/>
  <c r="N23" i="4"/>
  <c r="O23" i="4" s="1"/>
  <c r="N14" i="4"/>
  <c r="O14" i="4" s="1"/>
  <c r="O24" i="4"/>
  <c r="N21" i="4"/>
  <c r="O21" i="4" s="1"/>
  <c r="N11" i="4"/>
  <c r="O11" i="4" s="1"/>
  <c r="N41" i="4"/>
  <c r="O41" i="4" s="1"/>
  <c r="N5" i="4"/>
  <c r="O5" i="4" s="1"/>
  <c r="O49" i="4"/>
  <c r="O42" i="4"/>
  <c r="N30" i="4"/>
  <c r="O30" i="4" s="1"/>
  <c r="O51" i="4"/>
  <c r="N8" i="4"/>
  <c r="O8" i="4" s="1"/>
  <c r="M28" i="4"/>
  <c r="N28" i="4" s="1"/>
  <c r="O28" i="4" s="1"/>
  <c r="M46" i="4"/>
  <c r="N46" i="4" s="1"/>
  <c r="O46" i="4" s="1"/>
  <c r="N47" i="4"/>
  <c r="O47" i="4" s="1"/>
  <c r="N53" i="4"/>
  <c r="O53" i="4" s="1"/>
  <c r="N43" i="4"/>
  <c r="O43" i="4" s="1"/>
  <c r="M19" i="4"/>
  <c r="N19" i="4" s="1"/>
  <c r="M36" i="4"/>
  <c r="N36" i="4" s="1"/>
  <c r="M20" i="4"/>
  <c r="O2" i="4"/>
  <c r="N45" i="4"/>
  <c r="O45" i="4" s="1"/>
  <c r="M52" i="4"/>
  <c r="O40" i="4"/>
  <c r="N38" i="4"/>
  <c r="O38" i="4" s="1"/>
  <c r="M6" i="4"/>
  <c r="O16" i="4"/>
  <c r="O55" i="4"/>
  <c r="N35" i="4"/>
  <c r="O35" i="4" s="1"/>
  <c r="O29" i="4"/>
  <c r="O17" i="4"/>
  <c r="M27" i="4"/>
  <c r="N27" i="4" s="1"/>
  <c r="O27" i="4" s="1"/>
  <c r="M54" i="4"/>
  <c r="N54" i="4" s="1"/>
  <c r="O54" i="4" s="1"/>
  <c r="N7" i="4"/>
  <c r="O7" i="4" s="1"/>
  <c r="O12" i="4"/>
  <c r="O4" i="4"/>
  <c r="N37" i="4"/>
  <c r="O37" i="4" s="1"/>
  <c r="M44" i="4"/>
  <c r="O48" i="4"/>
  <c r="N3" i="4"/>
  <c r="O32" i="4"/>
  <c r="L4" i="2"/>
  <c r="L5" i="2"/>
  <c r="L6" i="2"/>
  <c r="L8" i="2"/>
  <c r="L9" i="2"/>
  <c r="L11" i="2"/>
  <c r="L12" i="2"/>
  <c r="L14" i="2"/>
  <c r="L15" i="2"/>
  <c r="L16" i="2"/>
  <c r="L17" i="2"/>
  <c r="L18" i="2"/>
  <c r="L19" i="2"/>
  <c r="L20" i="2"/>
  <c r="L21" i="2"/>
  <c r="L22" i="2"/>
  <c r="L24" i="2"/>
  <c r="L25" i="2"/>
  <c r="L27" i="2"/>
  <c r="L29" i="2"/>
  <c r="L30" i="2"/>
  <c r="L31" i="2"/>
  <c r="L32" i="2"/>
  <c r="L33" i="2"/>
  <c r="L34" i="2"/>
  <c r="L35" i="2"/>
  <c r="L36" i="2"/>
  <c r="L37" i="2"/>
  <c r="L39" i="2"/>
  <c r="L40" i="2"/>
  <c r="L42" i="2"/>
  <c r="L43" i="2"/>
  <c r="L45" i="2"/>
  <c r="L46" i="2"/>
  <c r="L47" i="2"/>
  <c r="L48" i="2"/>
  <c r="L49" i="2"/>
  <c r="L50" i="2"/>
  <c r="L51" i="2"/>
  <c r="L52" i="2"/>
  <c r="L53" i="2"/>
  <c r="F10" i="1"/>
  <c r="G10" i="1"/>
  <c r="H10" i="1"/>
  <c r="E10" i="1"/>
  <c r="M56" i="4"/>
  <c r="N44" i="4" l="1"/>
  <c r="O44" i="4" s="1"/>
  <c r="O36" i="4"/>
  <c r="N20" i="4"/>
  <c r="O20" i="4" s="1"/>
  <c r="O3" i="4"/>
  <c r="N52" i="4"/>
  <c r="O52" i="4" s="1"/>
  <c r="O19" i="4"/>
  <c r="N6" i="4"/>
  <c r="J10" i="1"/>
  <c r="M39" i="2"/>
  <c r="N39" i="2" s="1"/>
  <c r="O39" i="2" s="1"/>
  <c r="M24" i="2"/>
  <c r="N24" i="2" s="1"/>
  <c r="O24" i="2" s="1"/>
  <c r="M8" i="2"/>
  <c r="N8" i="2" s="1"/>
  <c r="O8" i="2" s="1"/>
  <c r="M52" i="2"/>
  <c r="N52" i="2" s="1"/>
  <c r="O52" i="2" s="1"/>
  <c r="M36" i="2"/>
  <c r="N36" i="2" s="1"/>
  <c r="M21" i="2"/>
  <c r="N21" i="2" s="1"/>
  <c r="O21" i="2" s="1"/>
  <c r="M5" i="2"/>
  <c r="N5" i="2" s="1"/>
  <c r="L54" i="2"/>
  <c r="M47" i="2"/>
  <c r="N47" i="2" s="1"/>
  <c r="O47" i="2" s="1"/>
  <c r="L41" i="2"/>
  <c r="L38" i="2"/>
  <c r="M31" i="2"/>
  <c r="L26" i="2"/>
  <c r="M26" i="2" s="1"/>
  <c r="L23" i="2"/>
  <c r="M23" i="2" s="1"/>
  <c r="N23" i="2" s="1"/>
  <c r="M16" i="2"/>
  <c r="N16" i="2" s="1"/>
  <c r="O16" i="2" s="1"/>
  <c r="L10" i="2"/>
  <c r="M10" i="2" s="1"/>
  <c r="L7" i="2"/>
  <c r="M53" i="2"/>
  <c r="N53" i="2" s="1"/>
  <c r="O53" i="2" s="1"/>
  <c r="M50" i="2"/>
  <c r="N50" i="2" s="1"/>
  <c r="L44" i="2"/>
  <c r="M37" i="2"/>
  <c r="N37" i="2" s="1"/>
  <c r="O37" i="2" s="1"/>
  <c r="M34" i="2"/>
  <c r="L28" i="2"/>
  <c r="M28" i="2" s="1"/>
  <c r="M22" i="2"/>
  <c r="N22" i="2" s="1"/>
  <c r="O22" i="2" s="1"/>
  <c r="M19" i="2"/>
  <c r="L13" i="2"/>
  <c r="M6" i="2"/>
  <c r="N6" i="2" s="1"/>
  <c r="O6" i="2" s="1"/>
  <c r="M43" i="2"/>
  <c r="N43" i="2" s="1"/>
  <c r="O43" i="2" s="1"/>
  <c r="M40" i="2"/>
  <c r="N40" i="2" s="1"/>
  <c r="M25" i="2"/>
  <c r="N25" i="2" s="1"/>
  <c r="M12" i="2"/>
  <c r="M9" i="2"/>
  <c r="N9" i="2" s="1"/>
  <c r="M49" i="2"/>
  <c r="N49" i="2" s="1"/>
  <c r="O49" i="2" s="1"/>
  <c r="M46" i="2"/>
  <c r="N46" i="2" s="1"/>
  <c r="M33" i="2"/>
  <c r="N33" i="2" s="1"/>
  <c r="O33" i="2" s="1"/>
  <c r="M30" i="2"/>
  <c r="M18" i="2"/>
  <c r="N18" i="2" s="1"/>
  <c r="O18" i="2" s="1"/>
  <c r="M15" i="2"/>
  <c r="N15" i="2" s="1"/>
  <c r="M45" i="2"/>
  <c r="M42" i="2"/>
  <c r="M29" i="2"/>
  <c r="N29" i="2" s="1"/>
  <c r="O29" i="2" s="1"/>
  <c r="M27" i="2"/>
  <c r="M14" i="2"/>
  <c r="N14" i="2" s="1"/>
  <c r="O14" i="2" s="1"/>
  <c r="M11" i="2"/>
  <c r="N11" i="2" s="1"/>
  <c r="M51" i="2"/>
  <c r="N51" i="2" s="1"/>
  <c r="M48" i="2"/>
  <c r="M35" i="2"/>
  <c r="N35" i="2" s="1"/>
  <c r="O35" i="2" s="1"/>
  <c r="M32" i="2"/>
  <c r="N32" i="2" s="1"/>
  <c r="M20" i="2"/>
  <c r="N20" i="2" s="1"/>
  <c r="O20" i="2" s="1"/>
  <c r="M17" i="2"/>
  <c r="M4" i="2"/>
  <c r="L2" i="2"/>
  <c r="L3" i="2"/>
  <c r="M3" i="2" s="1"/>
  <c r="N56" i="4"/>
  <c r="O6" i="4" l="1"/>
  <c r="M2" i="2"/>
  <c r="N2" i="2" s="1"/>
  <c r="O5" i="2"/>
  <c r="O11" i="2"/>
  <c r="O15" i="2"/>
  <c r="N28" i="2"/>
  <c r="O28" i="2" s="1"/>
  <c r="O25" i="2"/>
  <c r="N17" i="2"/>
  <c r="O17" i="2" s="1"/>
  <c r="O32" i="2"/>
  <c r="O50" i="2"/>
  <c r="N4" i="2"/>
  <c r="O4" i="2" s="1"/>
  <c r="M7" i="2"/>
  <c r="N7" i="2" s="1"/>
  <c r="N10" i="2"/>
  <c r="O10" i="2" s="1"/>
  <c r="N34" i="2"/>
  <c r="O34" i="2" s="1"/>
  <c r="N12" i="2"/>
  <c r="O12" i="2" s="1"/>
  <c r="O9" i="2"/>
  <c r="O51" i="2"/>
  <c r="M13" i="2"/>
  <c r="N30" i="2"/>
  <c r="O30" i="2" s="1"/>
  <c r="O36" i="2"/>
  <c r="N27" i="2"/>
  <c r="O27" i="2" s="1"/>
  <c r="N19" i="2"/>
  <c r="O19" i="2" s="1"/>
  <c r="M44" i="2"/>
  <c r="N45" i="2"/>
  <c r="O45" i="2" s="1"/>
  <c r="M38" i="2"/>
  <c r="N38" i="2" s="1"/>
  <c r="O40" i="2"/>
  <c r="N48" i="2"/>
  <c r="O48" i="2" s="1"/>
  <c r="N42" i="2"/>
  <c r="O42" i="2" s="1"/>
  <c r="O23" i="2"/>
  <c r="O46" i="2"/>
  <c r="N31" i="2"/>
  <c r="O31" i="2" s="1"/>
  <c r="N26" i="2"/>
  <c r="O26" i="2" s="1"/>
  <c r="M54" i="2"/>
  <c r="N54" i="2" s="1"/>
  <c r="M41" i="2"/>
  <c r="N3" i="2"/>
  <c r="O3" i="2" s="1"/>
  <c r="O56" i="4"/>
  <c r="O38" i="2" l="1"/>
  <c r="N13" i="2"/>
  <c r="O13" i="2" s="1"/>
  <c r="O54" i="2"/>
  <c r="N44" i="2"/>
  <c r="O44" i="2" s="1"/>
  <c r="N41" i="2"/>
  <c r="O7" i="2"/>
  <c r="O2" i="2"/>
  <c r="O41" i="2" l="1"/>
  <c r="L55" i="2"/>
  <c r="K56" i="2"/>
  <c r="L56" i="2"/>
  <c r="M55" i="2" l="1"/>
  <c r="M56" i="2"/>
  <c r="N55" i="2" l="1"/>
  <c r="O55" i="2" s="1"/>
  <c r="N56" i="2"/>
  <c r="O56" i="2"/>
</calcChain>
</file>

<file path=xl/sharedStrings.xml><?xml version="1.0" encoding="utf-8"?>
<sst xmlns="http://schemas.openxmlformats.org/spreadsheetml/2006/main" count="285" uniqueCount="97">
  <si>
    <t>Name</t>
  </si>
  <si>
    <t>Email</t>
  </si>
  <si>
    <t>Breakfast</t>
  </si>
  <si>
    <t>Lunch</t>
  </si>
  <si>
    <t>Dinner</t>
  </si>
  <si>
    <t>Custom1</t>
  </si>
  <si>
    <t>Custom2</t>
  </si>
  <si>
    <t># $20</t>
  </si>
  <si>
    <t># $10</t>
  </si>
  <si>
    <t># $5</t>
  </si>
  <si>
    <t># $1</t>
  </si>
  <si>
    <t xml:space="preserve">Total = </t>
  </si>
  <si>
    <t>Meal Values ($)</t>
  </si>
  <si>
    <r>
      <t xml:space="preserve">2. Put number of breakfast, lunch, dinner, &amp; custom per diem amounts per person - </t>
    </r>
    <r>
      <rPr>
        <i/>
        <sz val="10"/>
        <color theme="1"/>
        <rFont val="Cambria"/>
        <family val="1"/>
      </rPr>
      <t xml:space="preserve">note it may be easiset to blanket the default amount per person across the sheet &amp; go back to edit individuals </t>
    </r>
  </si>
  <si>
    <r>
      <t xml:space="preserve">1. Insert names &amp; emails (optional) into respective lists of bus sheet - </t>
    </r>
    <r>
      <rPr>
        <i/>
        <sz val="10"/>
        <color theme="1"/>
        <rFont val="Cambria"/>
        <family val="1"/>
      </rPr>
      <t>note none of these cells are required for program to run</t>
    </r>
  </si>
  <si>
    <t>Total ($)</t>
  </si>
  <si>
    <t>Custom 3</t>
  </si>
  <si>
    <t>Brian</t>
  </si>
  <si>
    <t>Caskey</t>
  </si>
  <si>
    <t>brcaskey@iastate.edu</t>
  </si>
  <si>
    <t>*Final Row*</t>
  </si>
  <si>
    <t>Final Total</t>
  </si>
  <si>
    <t>Autofill Categories</t>
  </si>
  <si>
    <t>A</t>
  </si>
  <si>
    <t>B</t>
  </si>
  <si>
    <t>C</t>
  </si>
  <si>
    <t>D</t>
  </si>
  <si>
    <t>E</t>
  </si>
  <si>
    <t>Category</t>
  </si>
  <si>
    <t>Custom3</t>
  </si>
  <si>
    <t>a) Fill amounts into category A, B, C, etc. (every category does not need to be filled)</t>
  </si>
  <si>
    <t>b) Type the letter of the category in the category column next to the desired student. If the letter does not match A, B, C, etc, it will be skipped and the amounts will not be adjusted at all</t>
  </si>
  <si>
    <t>c) click 'UPDATE CATEGORIES'</t>
  </si>
  <si>
    <r>
      <t xml:space="preserve">3. Assign catagories to students if necessary. </t>
    </r>
    <r>
      <rPr>
        <i/>
        <sz val="10"/>
        <color theme="1"/>
        <rFont val="Cambria"/>
        <family val="1"/>
      </rPr>
      <t>Note that clicking 'UPDATE CATEGORIES' will only overide data, it will never delete data</t>
    </r>
  </si>
  <si>
    <r>
      <t xml:space="preserve">3. Click 'SUM BILLS' Program will sum each bus sheet amount and insert into SplashPage table - </t>
    </r>
    <r>
      <rPr>
        <i/>
        <sz val="10"/>
        <color theme="1"/>
        <rFont val="Cambria"/>
        <family val="1"/>
      </rPr>
      <t>note DO NOT change name of 'SplashPage' sheet</t>
    </r>
  </si>
  <si>
    <t>Per-Diem Sum-program V1.4</t>
  </si>
  <si>
    <t>Test</t>
  </si>
  <si>
    <t>One</t>
  </si>
  <si>
    <t>Two</t>
  </si>
  <si>
    <t>test2</t>
  </si>
  <si>
    <t>test1</t>
  </si>
  <si>
    <t>test3</t>
  </si>
  <si>
    <t>test4</t>
  </si>
  <si>
    <t>Three</t>
  </si>
  <si>
    <t>Four</t>
  </si>
  <si>
    <t>Five</t>
  </si>
  <si>
    <t>Six</t>
  </si>
  <si>
    <t>test5</t>
  </si>
  <si>
    <t>test6</t>
  </si>
  <si>
    <t>test7</t>
  </si>
  <si>
    <t>test8</t>
  </si>
  <si>
    <t>test9</t>
  </si>
  <si>
    <t>test10</t>
  </si>
  <si>
    <t>test11</t>
  </si>
  <si>
    <t>test12</t>
  </si>
  <si>
    <t>test13</t>
  </si>
  <si>
    <t>test14</t>
  </si>
  <si>
    <t>test15</t>
  </si>
  <si>
    <t>test16</t>
  </si>
  <si>
    <t>test17</t>
  </si>
  <si>
    <t>test18</t>
  </si>
  <si>
    <t>test19</t>
  </si>
  <si>
    <t>test20</t>
  </si>
  <si>
    <t>test21</t>
  </si>
  <si>
    <t>test22</t>
  </si>
  <si>
    <t>test23</t>
  </si>
  <si>
    <t>test24</t>
  </si>
  <si>
    <t>test25</t>
  </si>
  <si>
    <t>test26</t>
  </si>
  <si>
    <t>test27</t>
  </si>
  <si>
    <t>test28</t>
  </si>
  <si>
    <t>test29</t>
  </si>
  <si>
    <t>test30</t>
  </si>
  <si>
    <t>test31</t>
  </si>
  <si>
    <t>test32</t>
  </si>
  <si>
    <t>test33</t>
  </si>
  <si>
    <t>test34</t>
  </si>
  <si>
    <t>test35</t>
  </si>
  <si>
    <t>test36</t>
  </si>
  <si>
    <t>test37</t>
  </si>
  <si>
    <t>test38</t>
  </si>
  <si>
    <t>test39</t>
  </si>
  <si>
    <t>test40</t>
  </si>
  <si>
    <t>test41</t>
  </si>
  <si>
    <t>test42</t>
  </si>
  <si>
    <t>test43</t>
  </si>
  <si>
    <t>test44</t>
  </si>
  <si>
    <t>test45</t>
  </si>
  <si>
    <t>test46</t>
  </si>
  <si>
    <t>test47</t>
  </si>
  <si>
    <t>test48</t>
  </si>
  <si>
    <t>test49</t>
  </si>
  <si>
    <t>test50</t>
  </si>
  <si>
    <t>test51</t>
  </si>
  <si>
    <t>test52</t>
  </si>
  <si>
    <t>test53</t>
  </si>
  <si>
    <t>test54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</si>
</sst>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6" x14ac:knownFonts="1">
    <font>
      <sz val="11"/>
      <color theme="1"/>
      <name val="Calibri"/>
      <family val="2"/>
      <scheme val="minor"/>
    </font>
    <font>
      <u/>
      <sz val="11"/>
      <color theme="10"/>
      <name val="Calibri"/>
      <family val="2"/>
      <scheme val="minor"/>
    </font>
    <font>
      <sz val="11"/>
      <color theme="0"/>
      <name val="Cambria"/>
      <family val="1"/>
    </font>
    <font>
      <sz val="11"/>
      <color theme="1"/>
      <name val="Cambria"/>
      <family val="1"/>
    </font>
    <font>
      <sz val="18"/>
      <color theme="1"/>
      <name val="Cambria"/>
      <family val="1"/>
    </font>
    <font>
      <sz val="10"/>
      <color theme="1"/>
      <name val="Cambria"/>
      <family val="1"/>
    </font>
    <font>
      <i/>
      <sz val="10"/>
      <color theme="1"/>
      <name val="Cambria"/>
      <family val="1"/>
    </font>
    <font>
      <sz val="22"/>
      <color rgb="FF000000"/>
      <name val="Cambria"/>
      <family val="1"/>
    </font>
    <font>
      <sz val="11"/>
      <color theme="0"/>
      <name val="Calibri"/>
      <family val="2"/>
      <scheme val="minor"/>
    </font>
    <font>
      <sz val="14"/>
      <color theme="0"/>
      <name val="Cambria"/>
      <family val="1"/>
    </font>
    <font>
      <sz val="14"/>
      <color theme="1"/>
      <name val="Calibri"/>
      <family val="2"/>
      <scheme val="minor"/>
    </font>
    <font>
      <sz val="11"/>
      <color rgb="FF000000"/>
      <name val="Calibri"/>
      <family val="2"/>
    </font>
    <font>
      <i/>
      <sz val="10"/>
      <color theme="1"/>
      <name val="Calibri"/>
      <family val="2"/>
      <scheme val="minor"/>
    </font>
    <font>
      <i/>
      <sz val="9"/>
      <color theme="1"/>
      <name val="Calibri"/>
      <family val="2"/>
      <scheme val="minor"/>
    </font>
    <font>
      <sz val="8"/>
      <name val="Calibri"/>
      <family val="2"/>
      <scheme val="minor"/>
    </font>
    <font>
      <sz val="11"/>
      <name val="Calibri"/>
      <family val="2"/>
      <scheme val="minor"/>
    </font>
  </fonts>
  <fills count="8">
    <fill>
      <patternFill patternType="none"/>
    </fill>
    <fill>
      <patternFill patternType="gray125"/>
    </fill>
    <fill>
      <patternFill patternType="solid">
        <fgColor rgb="FFC00000"/>
        <bgColor indexed="64"/>
      </patternFill>
    </fill>
    <fill>
      <patternFill patternType="solid">
        <fgColor theme="9"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theme="9" tint="-0.249977111117893"/>
        <bgColor indexed="64"/>
      </patternFill>
    </fill>
  </fills>
  <borders count="26">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right style="hair">
        <color indexed="64"/>
      </right>
      <top style="medium">
        <color indexed="64"/>
      </top>
      <bottom style="hair">
        <color indexed="64"/>
      </bottom>
      <diagonal/>
    </border>
    <border>
      <left/>
      <right style="hair">
        <color indexed="64"/>
      </right>
      <top style="hair">
        <color indexed="64"/>
      </top>
      <bottom style="hair">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medium">
        <color indexed="64"/>
      </left>
      <right style="medium">
        <color indexed="64"/>
      </right>
      <top style="medium">
        <color indexed="64"/>
      </top>
      <bottom/>
      <diagonal/>
    </border>
    <border>
      <left style="hair">
        <color indexed="64"/>
      </left>
      <right/>
      <top style="medium">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s>
  <cellStyleXfs count="2">
    <xf numFmtId="0" fontId="0" fillId="0" borderId="0"/>
    <xf numFmtId="0" fontId="1" fillId="0" borderId="0" applyNumberFormat="0" applyFill="0" applyBorder="0" applyAlignment="0" applyProtection="0"/>
  </cellStyleXfs>
  <cellXfs count="77">
    <xf numFmtId="0" fontId="0" fillId="0" borderId="0" xfId="0"/>
    <xf numFmtId="0" fontId="3" fillId="0" borderId="0" xfId="0" applyFont="1"/>
    <xf numFmtId="0" fontId="3" fillId="0" borderId="1" xfId="0" applyFont="1" applyBorder="1"/>
    <xf numFmtId="0" fontId="2" fillId="2" borderId="1" xfId="0" applyFont="1" applyFill="1" applyBorder="1"/>
    <xf numFmtId="0" fontId="2" fillId="2" borderId="4" xfId="0" applyFont="1" applyFill="1" applyBorder="1" applyAlignment="1">
      <alignment horizontal="center" vertical="center"/>
    </xf>
    <xf numFmtId="0" fontId="2" fillId="3" borderId="0" xfId="0" applyFont="1" applyFill="1" applyAlignment="1">
      <alignment horizontal="center" vertical="center"/>
    </xf>
    <xf numFmtId="0" fontId="0" fillId="0" borderId="0" xfId="0" applyBorder="1"/>
    <xf numFmtId="0" fontId="0" fillId="0" borderId="9" xfId="0" applyBorder="1"/>
    <xf numFmtId="0" fontId="0" fillId="0" borderId="8" xfId="0" applyBorder="1"/>
    <xf numFmtId="0" fontId="0" fillId="0" borderId="10" xfId="0" applyBorder="1"/>
    <xf numFmtId="0" fontId="0" fillId="0" borderId="4" xfId="0" applyBorder="1"/>
    <xf numFmtId="0" fontId="0" fillId="0" borderId="11" xfId="0" applyBorder="1"/>
    <xf numFmtId="0" fontId="2" fillId="2" borderId="5" xfId="0" applyFont="1" applyFill="1" applyBorder="1" applyAlignment="1">
      <alignment horizontal="center" vertical="center"/>
    </xf>
    <xf numFmtId="0" fontId="2" fillId="2" borderId="7" xfId="0" applyFont="1" applyFill="1" applyBorder="1" applyAlignment="1">
      <alignment horizontal="center" vertical="center"/>
    </xf>
    <xf numFmtId="0" fontId="3" fillId="5" borderId="14" xfId="0" applyFont="1" applyFill="1" applyBorder="1"/>
    <xf numFmtId="0" fontId="3" fillId="5" borderId="15" xfId="0" applyFont="1" applyFill="1" applyBorder="1"/>
    <xf numFmtId="0" fontId="3" fillId="4" borderId="13" xfId="0" applyFont="1" applyFill="1" applyBorder="1"/>
    <xf numFmtId="0" fontId="3" fillId="4" borderId="16" xfId="0" applyFont="1" applyFill="1" applyBorder="1"/>
    <xf numFmtId="0" fontId="3" fillId="5" borderId="13" xfId="0" applyFont="1" applyFill="1" applyBorder="1"/>
    <xf numFmtId="0" fontId="3" fillId="5" borderId="16" xfId="0" applyFont="1" applyFill="1" applyBorder="1"/>
    <xf numFmtId="0" fontId="3" fillId="0" borderId="19" xfId="0" applyFont="1" applyBorder="1"/>
    <xf numFmtId="0" fontId="3" fillId="0" borderId="20" xfId="0" applyFont="1" applyBorder="1"/>
    <xf numFmtId="0" fontId="0" fillId="6" borderId="0" xfId="0" applyFill="1"/>
    <xf numFmtId="0" fontId="2" fillId="2" borderId="21" xfId="0" applyFont="1" applyFill="1" applyBorder="1"/>
    <xf numFmtId="0" fontId="3" fillId="0" borderId="21" xfId="0" applyFont="1" applyBorder="1"/>
    <xf numFmtId="0" fontId="8" fillId="2" borderId="1" xfId="0" applyFont="1" applyFill="1" applyBorder="1"/>
    <xf numFmtId="0" fontId="0" fillId="6" borderId="1" xfId="0" applyFill="1" applyBorder="1"/>
    <xf numFmtId="0" fontId="2" fillId="7" borderId="8" xfId="0" applyFont="1" applyFill="1" applyBorder="1"/>
    <xf numFmtId="0" fontId="2" fillId="7" borderId="0" xfId="0" applyFont="1" applyFill="1" applyBorder="1"/>
    <xf numFmtId="0" fontId="2" fillId="7" borderId="7" xfId="0" applyFont="1" applyFill="1" applyBorder="1"/>
    <xf numFmtId="0" fontId="2" fillId="7" borderId="6" xfId="0" applyFont="1" applyFill="1" applyBorder="1"/>
    <xf numFmtId="0" fontId="3" fillId="0" borderId="22" xfId="0" applyFont="1" applyBorder="1"/>
    <xf numFmtId="0" fontId="2" fillId="2" borderId="0" xfId="0" applyFont="1" applyFill="1" applyBorder="1" applyAlignment="1">
      <alignment horizontal="center" vertical="center"/>
    </xf>
    <xf numFmtId="0" fontId="3" fillId="0" borderId="0" xfId="0" applyFont="1" applyBorder="1"/>
    <xf numFmtId="0" fontId="3" fillId="5" borderId="17" xfId="0" applyFont="1" applyFill="1" applyBorder="1"/>
    <xf numFmtId="0" fontId="3" fillId="4" borderId="18" xfId="0" applyFont="1" applyFill="1" applyBorder="1"/>
    <xf numFmtId="0" fontId="3" fillId="5" borderId="18" xfId="0" applyFont="1" applyFill="1" applyBorder="1"/>
    <xf numFmtId="0" fontId="2" fillId="2" borderId="12" xfId="0" applyFont="1" applyFill="1" applyBorder="1" applyAlignment="1">
      <alignment horizontal="center" vertical="center"/>
    </xf>
    <xf numFmtId="0" fontId="0" fillId="0" borderId="23" xfId="0" applyBorder="1"/>
    <xf numFmtId="0" fontId="1" fillId="0" borderId="0" xfId="1"/>
    <xf numFmtId="0" fontId="0" fillId="0" borderId="0" xfId="0" applyFill="1" applyBorder="1"/>
    <xf numFmtId="0" fontId="9" fillId="2" borderId="12" xfId="0" applyFont="1" applyFill="1" applyBorder="1"/>
    <xf numFmtId="0" fontId="10" fillId="0" borderId="12" xfId="0" applyFont="1" applyBorder="1"/>
    <xf numFmtId="0" fontId="2" fillId="7" borderId="1" xfId="0" applyFont="1" applyFill="1" applyBorder="1"/>
    <xf numFmtId="164" fontId="0" fillId="6" borderId="1" xfId="0" applyNumberFormat="1" applyFill="1" applyBorder="1"/>
    <xf numFmtId="0" fontId="0" fillId="0" borderId="5" xfId="0" applyFill="1" applyBorder="1"/>
    <xf numFmtId="0" fontId="0" fillId="0" borderId="7" xfId="0" applyFill="1" applyBorder="1"/>
    <xf numFmtId="0" fontId="0" fillId="0" borderId="6" xfId="0" applyFill="1" applyBorder="1"/>
    <xf numFmtId="0" fontId="2" fillId="2" borderId="1" xfId="0" applyFont="1" applyFill="1" applyBorder="1" applyAlignment="1">
      <alignment horizontal="center" vertical="center"/>
    </xf>
    <xf numFmtId="0" fontId="3" fillId="0" borderId="25" xfId="0" applyFont="1" applyBorder="1" applyAlignment="1">
      <alignment horizontal="center" vertical="center"/>
    </xf>
    <xf numFmtId="0" fontId="3" fillId="0" borderId="0" xfId="0" applyFont="1" applyAlignment="1">
      <alignment horizontal="center" vertical="center"/>
    </xf>
    <xf numFmtId="0" fontId="0" fillId="0" borderId="2" xfId="0" applyFill="1" applyBorder="1"/>
    <xf numFmtId="0" fontId="0" fillId="0" borderId="3" xfId="0" applyFill="1" applyBorder="1"/>
    <xf numFmtId="0" fontId="0" fillId="0" borderId="24" xfId="0" applyFill="1" applyBorder="1"/>
    <xf numFmtId="0" fontId="3" fillId="0" borderId="1" xfId="0" applyFont="1" applyBorder="1" applyAlignment="1">
      <alignment horizontal="center" vertical="center"/>
    </xf>
    <xf numFmtId="0" fontId="5" fillId="0" borderId="0" xfId="0" applyFont="1" applyAlignment="1">
      <alignment horizontal="left" vertical="top" wrapText="1"/>
    </xf>
    <xf numFmtId="0" fontId="5" fillId="0" borderId="9" xfId="0" applyFont="1" applyBorder="1" applyAlignment="1">
      <alignment horizontal="left" vertical="top" wrapText="1"/>
    </xf>
    <xf numFmtId="0" fontId="2" fillId="2" borderId="2" xfId="0" applyFont="1" applyFill="1" applyBorder="1" applyAlignment="1">
      <alignment horizontal="center"/>
    </xf>
    <xf numFmtId="0" fontId="2" fillId="2" borderId="3" xfId="0" applyFont="1" applyFill="1" applyBorder="1" applyAlignment="1">
      <alignment horizontal="center"/>
    </xf>
    <xf numFmtId="0" fontId="2" fillId="2" borderId="24" xfId="0" applyFont="1" applyFill="1" applyBorder="1" applyAlignment="1">
      <alignment horizontal="center"/>
    </xf>
    <xf numFmtId="0" fontId="2" fillId="2" borderId="5" xfId="0" applyFont="1" applyFill="1" applyBorder="1" applyAlignment="1">
      <alignment horizontal="center"/>
    </xf>
    <xf numFmtId="0" fontId="2" fillId="2" borderId="6" xfId="0" applyFont="1" applyFill="1" applyBorder="1" applyAlignment="1">
      <alignment horizontal="center"/>
    </xf>
    <xf numFmtId="0" fontId="5" fillId="0" borderId="0" xfId="0" applyFont="1" applyAlignment="1">
      <alignment horizontal="left" vertical="center" wrapText="1"/>
    </xf>
    <xf numFmtId="0" fontId="4" fillId="0" borderId="0" xfId="0" applyFont="1" applyAlignment="1">
      <alignment horizontal="left" vertical="top"/>
    </xf>
    <xf numFmtId="0" fontId="3" fillId="0" borderId="0" xfId="0" applyFont="1" applyAlignment="1">
      <alignment horizontal="left" vertical="top"/>
    </xf>
    <xf numFmtId="0" fontId="12" fillId="0" borderId="0" xfId="0" applyFont="1" applyAlignment="1">
      <alignment horizontal="left" vertical="top" wrapText="1"/>
    </xf>
    <xf numFmtId="0" fontId="0" fillId="0" borderId="9" xfId="0" applyBorder="1" applyAlignment="1">
      <alignment horizontal="left" vertical="top" wrapText="1"/>
    </xf>
    <xf numFmtId="0" fontId="0" fillId="0" borderId="0" xfId="0" applyAlignment="1">
      <alignment horizontal="left" vertical="top" wrapText="1"/>
    </xf>
    <xf numFmtId="0" fontId="13" fillId="0" borderId="0" xfId="0" applyFont="1" applyAlignment="1">
      <alignment horizontal="left" vertical="top" wrapText="1"/>
    </xf>
    <xf numFmtId="0" fontId="13" fillId="0" borderId="9" xfId="0" applyFont="1" applyBorder="1" applyAlignment="1">
      <alignment horizontal="left" vertical="top" wrapText="1"/>
    </xf>
    <xf numFmtId="0" fontId="0" fillId="0" borderId="0" xfId="0" applyAlignment="1">
      <alignment horizontal="center" wrapText="1"/>
    </xf>
    <xf numFmtId="0" fontId="6" fillId="0" borderId="0" xfId="0" applyFont="1" applyAlignment="1">
      <alignment horizontal="left"/>
    </xf>
    <xf numFmtId="0" fontId="6" fillId="0" borderId="9" xfId="0" applyFont="1" applyBorder="1" applyAlignment="1">
      <alignment horizontal="left"/>
    </xf>
    <xf numFmtId="0" fontId="3" fillId="0" borderId="2" xfId="0" applyFont="1" applyBorder="1" applyAlignment="1">
      <alignment horizontal="center"/>
    </xf>
    <xf numFmtId="0" fontId="3" fillId="0" borderId="3" xfId="0" applyFont="1" applyBorder="1" applyAlignment="1">
      <alignment horizontal="center"/>
    </xf>
    <xf numFmtId="0" fontId="15" fillId="0" borderId="0" xfId="1" applyFont="1"/>
    <xf numFmtId="0" fontId="15" fillId="0" borderId="0" xfId="0" applyFont="1"/>
  </cellXfs>
  <cellStyles count="2">
    <cellStyle name="Hyperlink" xfId="1" builtinId="8"/>
    <cellStyle name="Normal" xfId="0" builtinId="0"/>
  </cellStyles>
  <dxfs count="0"/>
  <tableStyles count="0" defaultTableStyle="TableStyleMedium2" defaultPivotStyle="PivotStyleLight16"/>
  <colors>
    <mruColors>
      <color rgb="FFFFAFAF"/>
      <color rgb="FFFF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95250</xdr:colOff>
          <xdr:row>1</xdr:row>
          <xdr:rowOff>38100</xdr:rowOff>
        </xdr:from>
        <xdr:to>
          <xdr:col>7</xdr:col>
          <xdr:colOff>495300</xdr:colOff>
          <xdr:row>5</xdr:row>
          <xdr:rowOff>133350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2200" b="0" i="0" u="none" strike="noStrike" baseline="0">
                  <a:solidFill>
                    <a:srgbClr val="000000"/>
                  </a:solidFill>
                  <a:latin typeface="Cambria"/>
                  <a:ea typeface="Cambria"/>
                </a:rPr>
                <a:t>Sum Bills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6</xdr:row>
          <xdr:rowOff>9525</xdr:rowOff>
        </xdr:from>
        <xdr:to>
          <xdr:col>7</xdr:col>
          <xdr:colOff>485775</xdr:colOff>
          <xdr:row>7</xdr:row>
          <xdr:rowOff>85725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New Bus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323850</xdr:colOff>
          <xdr:row>8</xdr:row>
          <xdr:rowOff>180975</xdr:rowOff>
        </xdr:from>
        <xdr:to>
          <xdr:col>17</xdr:col>
          <xdr:colOff>600075</xdr:colOff>
          <xdr:row>9</xdr:row>
          <xdr:rowOff>276225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CATEGORIES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104775</xdr:colOff>
          <xdr:row>0</xdr:row>
          <xdr:rowOff>38100</xdr:rowOff>
        </xdr:from>
        <xdr:to>
          <xdr:col>18</xdr:col>
          <xdr:colOff>466725</xdr:colOff>
          <xdr:row>0</xdr:row>
          <xdr:rowOff>333375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CATEGORIES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104775</xdr:colOff>
          <xdr:row>0</xdr:row>
          <xdr:rowOff>38100</xdr:rowOff>
        </xdr:from>
        <xdr:to>
          <xdr:col>18</xdr:col>
          <xdr:colOff>466725</xdr:colOff>
          <xdr:row>0</xdr:row>
          <xdr:rowOff>333375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CATEGORIES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mailto:brcaskey@iastate.edu" TargetMode="Externa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71"/>
  <sheetViews>
    <sheetView zoomScale="115" zoomScaleNormal="115" workbookViewId="0">
      <selection activeCell="S26" sqref="S26"/>
    </sheetView>
  </sheetViews>
  <sheetFormatPr defaultRowHeight="15" x14ac:dyDescent="0.25"/>
  <cols>
    <col min="1" max="1" width="18.85546875" customWidth="1"/>
    <col min="2" max="3" width="18.140625" customWidth="1"/>
    <col min="4" max="4" width="10.5703125" customWidth="1"/>
    <col min="10" max="10" width="13.85546875" customWidth="1"/>
    <col min="12" max="12" width="17.85546875" bestFit="1" customWidth="1"/>
    <col min="13" max="13" width="10" customWidth="1"/>
  </cols>
  <sheetData>
    <row r="1" spans="1:31" ht="15.75" thickBot="1" x14ac:dyDescent="0.3">
      <c r="A1" s="63" t="s">
        <v>35</v>
      </c>
      <c r="B1" s="64"/>
      <c r="C1" s="64"/>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row>
    <row r="2" spans="1:31" ht="15.75" thickBot="1" x14ac:dyDescent="0.3">
      <c r="A2" s="64"/>
      <c r="B2" s="64"/>
      <c r="C2" s="64"/>
      <c r="D2" s="60" t="s">
        <v>12</v>
      </c>
      <c r="E2" s="61"/>
      <c r="F2" s="22"/>
      <c r="G2" s="22"/>
      <c r="H2" s="22"/>
      <c r="I2" s="22"/>
      <c r="J2" s="22"/>
      <c r="K2" s="22"/>
      <c r="L2" s="22"/>
      <c r="M2" s="22"/>
      <c r="N2" s="22"/>
      <c r="O2" s="22"/>
      <c r="P2" s="22"/>
      <c r="Q2" s="22"/>
      <c r="R2" s="22"/>
      <c r="S2" s="22"/>
      <c r="T2" s="22"/>
      <c r="U2" s="22"/>
      <c r="V2" s="22"/>
      <c r="W2" s="22"/>
      <c r="X2" s="22"/>
      <c r="Y2" s="22"/>
      <c r="Z2" s="22"/>
      <c r="AA2" s="22"/>
      <c r="AB2" s="22"/>
      <c r="AC2" s="22"/>
      <c r="AD2" s="22"/>
      <c r="AE2" s="22"/>
    </row>
    <row r="3" spans="1:31" ht="15.75" customHeight="1" thickBot="1" x14ac:dyDescent="0.3">
      <c r="A3" s="55" t="s">
        <v>14</v>
      </c>
      <c r="B3" s="55"/>
      <c r="C3" s="56"/>
      <c r="D3" s="3" t="s">
        <v>2</v>
      </c>
      <c r="E3" s="2">
        <v>5</v>
      </c>
      <c r="F3" s="22"/>
      <c r="G3" s="22"/>
      <c r="H3" s="22"/>
      <c r="I3" s="22"/>
      <c r="J3" s="22"/>
      <c r="K3" s="22"/>
      <c r="L3" s="22"/>
      <c r="M3" s="22"/>
      <c r="N3" s="22"/>
      <c r="O3" s="22"/>
      <c r="P3" s="22"/>
      <c r="Q3" s="22"/>
      <c r="R3" s="22"/>
      <c r="S3" s="22"/>
      <c r="T3" s="22"/>
      <c r="U3" s="22"/>
      <c r="V3" s="22"/>
      <c r="W3" s="22"/>
      <c r="X3" s="22"/>
      <c r="Y3" s="22"/>
      <c r="Z3" s="22"/>
      <c r="AA3" s="22"/>
      <c r="AB3" s="22"/>
      <c r="AC3" s="22"/>
      <c r="AD3" s="22"/>
      <c r="AE3" s="22"/>
    </row>
    <row r="4" spans="1:31" ht="15.75" thickBot="1" x14ac:dyDescent="0.3">
      <c r="A4" s="55"/>
      <c r="B4" s="55"/>
      <c r="C4" s="56"/>
      <c r="D4" s="3" t="s">
        <v>3</v>
      </c>
      <c r="E4" s="2">
        <v>7</v>
      </c>
      <c r="F4" s="22"/>
      <c r="G4" s="22"/>
      <c r="H4" s="22"/>
      <c r="I4" s="22"/>
      <c r="J4" s="22"/>
      <c r="K4" s="22"/>
      <c r="L4" s="22"/>
      <c r="M4" s="22"/>
      <c r="N4" s="22"/>
      <c r="O4" s="22"/>
      <c r="P4" s="22"/>
      <c r="Q4" s="22"/>
      <c r="R4" s="22"/>
      <c r="S4" s="22"/>
      <c r="T4" s="22"/>
      <c r="U4" s="22"/>
      <c r="V4" s="22"/>
      <c r="W4" s="22"/>
      <c r="X4" s="22"/>
      <c r="Y4" s="22"/>
      <c r="Z4" s="22"/>
      <c r="AA4" s="22"/>
      <c r="AB4" s="22"/>
      <c r="AC4" s="22"/>
      <c r="AD4" s="22"/>
      <c r="AE4" s="22"/>
    </row>
    <row r="5" spans="1:31" ht="15.75" thickBot="1" x14ac:dyDescent="0.3">
      <c r="A5" s="55" t="s">
        <v>13</v>
      </c>
      <c r="B5" s="55"/>
      <c r="C5" s="56"/>
      <c r="D5" s="3" t="s">
        <v>4</v>
      </c>
      <c r="E5" s="2">
        <v>10</v>
      </c>
      <c r="F5" s="22"/>
      <c r="G5" s="22"/>
      <c r="H5" s="22"/>
      <c r="I5" s="22"/>
      <c r="J5" s="22"/>
      <c r="K5" s="22"/>
      <c r="L5" s="22"/>
      <c r="M5" s="22"/>
      <c r="N5" s="22"/>
      <c r="O5" s="22"/>
      <c r="P5" s="22"/>
      <c r="Q5" s="22"/>
      <c r="R5" s="22"/>
      <c r="S5" s="22"/>
      <c r="T5" s="22"/>
      <c r="U5" s="22"/>
      <c r="V5" s="22"/>
      <c r="W5" s="22"/>
      <c r="X5" s="22"/>
      <c r="Y5" s="22"/>
      <c r="Z5" s="22"/>
      <c r="AA5" s="22"/>
      <c r="AB5" s="22"/>
      <c r="AC5" s="22"/>
      <c r="AD5" s="22"/>
      <c r="AE5" s="22"/>
    </row>
    <row r="6" spans="1:31" ht="15" customHeight="1" thickBot="1" x14ac:dyDescent="0.3">
      <c r="A6" s="55"/>
      <c r="B6" s="55"/>
      <c r="C6" s="56"/>
      <c r="D6" s="3" t="s">
        <v>5</v>
      </c>
      <c r="E6" s="2">
        <v>0</v>
      </c>
      <c r="F6" s="22"/>
      <c r="G6" s="22"/>
      <c r="H6" s="22"/>
      <c r="I6" s="22"/>
      <c r="J6" s="22"/>
      <c r="K6" s="22"/>
      <c r="L6" s="22"/>
      <c r="M6" s="22"/>
      <c r="N6" s="22"/>
      <c r="O6" s="22"/>
      <c r="P6" s="22"/>
      <c r="Q6" s="22"/>
      <c r="R6" s="22"/>
      <c r="S6" s="22"/>
      <c r="T6" s="22"/>
      <c r="U6" s="22"/>
      <c r="V6" s="22"/>
      <c r="W6" s="22"/>
      <c r="X6" s="22"/>
      <c r="Y6" s="22"/>
      <c r="Z6" s="22"/>
      <c r="AA6" s="22"/>
      <c r="AB6" s="22"/>
      <c r="AC6" s="22"/>
      <c r="AD6" s="22"/>
      <c r="AE6" s="22"/>
    </row>
    <row r="7" spans="1:31" ht="15.75" thickBot="1" x14ac:dyDescent="0.3">
      <c r="A7" s="55"/>
      <c r="B7" s="55"/>
      <c r="C7" s="56"/>
      <c r="D7" s="23" t="s">
        <v>6</v>
      </c>
      <c r="E7" s="24">
        <v>0</v>
      </c>
      <c r="F7" s="22"/>
      <c r="G7" s="22"/>
      <c r="H7" s="22"/>
      <c r="I7" s="22"/>
      <c r="J7" s="22"/>
      <c r="K7" s="22"/>
      <c r="L7" s="22"/>
      <c r="M7" s="22"/>
      <c r="N7" s="22"/>
      <c r="O7" s="22"/>
      <c r="P7" s="22"/>
      <c r="Q7" s="22"/>
      <c r="R7" s="22"/>
      <c r="S7" s="22"/>
      <c r="T7" s="22"/>
      <c r="U7" s="22"/>
      <c r="V7" s="22"/>
      <c r="W7" s="22"/>
      <c r="X7" s="22"/>
      <c r="Y7" s="22"/>
      <c r="Z7" s="22"/>
      <c r="AA7" s="22"/>
      <c r="AB7" s="22"/>
      <c r="AC7" s="22"/>
      <c r="AD7" s="22"/>
      <c r="AE7" s="22"/>
    </row>
    <row r="8" spans="1:31" ht="15.75" thickBot="1" x14ac:dyDescent="0.3">
      <c r="A8" s="55" t="s">
        <v>33</v>
      </c>
      <c r="B8" s="55"/>
      <c r="C8" s="55"/>
      <c r="D8" s="25" t="s">
        <v>16</v>
      </c>
      <c r="E8" s="26">
        <v>0</v>
      </c>
      <c r="F8" s="22"/>
      <c r="G8" s="22"/>
      <c r="H8" s="22"/>
      <c r="I8" s="22"/>
      <c r="J8" s="22"/>
      <c r="K8" s="22"/>
      <c r="L8" s="22"/>
      <c r="M8" s="22"/>
      <c r="N8" s="22"/>
      <c r="O8" s="22"/>
      <c r="P8" s="22"/>
      <c r="Q8" s="22"/>
      <c r="R8" s="22"/>
      <c r="S8" s="22"/>
      <c r="T8" s="22"/>
      <c r="U8" s="22"/>
      <c r="V8" s="22"/>
      <c r="W8" s="22"/>
      <c r="X8" s="22"/>
      <c r="Y8" s="22"/>
      <c r="Z8" s="22"/>
      <c r="AA8" s="22"/>
      <c r="AB8" s="22"/>
      <c r="AC8" s="22"/>
      <c r="AD8" s="22"/>
      <c r="AE8" s="22"/>
    </row>
    <row r="9" spans="1:31" ht="15.75" customHeight="1" thickBot="1" x14ac:dyDescent="0.3">
      <c r="A9" s="55"/>
      <c r="B9" s="55"/>
      <c r="C9" s="55"/>
      <c r="D9" s="27"/>
      <c r="E9" s="28" t="s">
        <v>7</v>
      </c>
      <c r="F9" s="29" t="s">
        <v>8</v>
      </c>
      <c r="G9" s="29" t="s">
        <v>9</v>
      </c>
      <c r="H9" s="30" t="s">
        <v>10</v>
      </c>
      <c r="I9" s="22"/>
      <c r="J9" s="43" t="s">
        <v>21</v>
      </c>
      <c r="K9" s="22"/>
      <c r="L9" s="22"/>
      <c r="M9" s="22"/>
      <c r="N9" s="22"/>
      <c r="O9" s="22"/>
      <c r="P9" s="22"/>
      <c r="Q9" s="22"/>
      <c r="R9" s="22"/>
      <c r="S9" s="22"/>
      <c r="T9" s="22"/>
      <c r="U9" s="22"/>
      <c r="V9" s="22"/>
      <c r="W9" s="22"/>
      <c r="X9" s="22"/>
      <c r="Y9" s="22"/>
      <c r="Z9" s="22"/>
      <c r="AA9" s="22"/>
      <c r="AB9" s="22"/>
      <c r="AC9" s="22"/>
      <c r="AD9" s="22"/>
      <c r="AE9" s="22"/>
    </row>
    <row r="10" spans="1:31" ht="26.1" customHeight="1" thickBot="1" x14ac:dyDescent="0.35">
      <c r="A10" s="55"/>
      <c r="B10" s="55"/>
      <c r="C10" s="55"/>
      <c r="D10" s="41" t="s">
        <v>11</v>
      </c>
      <c r="E10" s="42">
        <f>SUM(E11:E20)</f>
        <v>0</v>
      </c>
      <c r="F10" s="42">
        <f t="shared" ref="F10:H10" si="0">SUM(F11:F20)</f>
        <v>0</v>
      </c>
      <c r="G10" s="42">
        <f t="shared" si="0"/>
        <v>0</v>
      </c>
      <c r="H10" s="42">
        <f t="shared" si="0"/>
        <v>0</v>
      </c>
      <c r="I10" s="22"/>
      <c r="J10" s="44">
        <f>SUM(E10*20 + F10*10 + G10*5 + H10*1)</f>
        <v>0</v>
      </c>
      <c r="K10" s="22"/>
      <c r="L10" s="22"/>
      <c r="M10" s="22"/>
      <c r="N10" s="22"/>
      <c r="O10" s="22"/>
      <c r="P10" s="22"/>
      <c r="Q10" s="22"/>
      <c r="R10" s="22"/>
      <c r="S10" s="22"/>
      <c r="T10" s="22"/>
      <c r="U10" s="22"/>
      <c r="V10" s="22"/>
      <c r="W10" s="22"/>
      <c r="X10" s="22"/>
      <c r="Y10" s="22"/>
      <c r="Z10" s="22"/>
      <c r="AA10" s="22"/>
      <c r="AB10" s="22"/>
      <c r="AC10" s="22"/>
      <c r="AD10" s="22"/>
      <c r="AE10" s="22"/>
    </row>
    <row r="11" spans="1:31" ht="15.75" thickBot="1" x14ac:dyDescent="0.3">
      <c r="A11" s="70"/>
      <c r="B11" s="65" t="s">
        <v>30</v>
      </c>
      <c r="C11" s="66"/>
      <c r="D11" s="8"/>
      <c r="E11" s="6"/>
      <c r="F11" s="6"/>
      <c r="G11" s="6"/>
      <c r="H11" s="7"/>
      <c r="I11" s="22"/>
      <c r="J11" s="22"/>
      <c r="K11" s="22"/>
      <c r="L11" s="57" t="s">
        <v>22</v>
      </c>
      <c r="M11" s="58"/>
      <c r="N11" s="58"/>
      <c r="O11" s="58"/>
      <c r="P11" s="58"/>
      <c r="Q11" s="58"/>
      <c r="R11" s="59"/>
      <c r="S11" s="22"/>
      <c r="T11" s="22"/>
      <c r="U11" s="22"/>
      <c r="V11" s="22"/>
      <c r="W11" s="22"/>
      <c r="X11" s="22"/>
      <c r="Y11" s="22"/>
      <c r="Z11" s="22"/>
      <c r="AA11" s="22"/>
      <c r="AB11" s="22"/>
      <c r="AC11" s="22"/>
      <c r="AD11" s="22"/>
      <c r="AE11" s="22"/>
    </row>
    <row r="12" spans="1:31" ht="15.75" thickBot="1" x14ac:dyDescent="0.3">
      <c r="A12" s="70"/>
      <c r="B12" s="67"/>
      <c r="C12" s="66"/>
      <c r="D12" s="8"/>
      <c r="E12" s="6"/>
      <c r="F12" s="6"/>
      <c r="G12" s="6"/>
      <c r="H12" s="7"/>
      <c r="I12" s="22"/>
      <c r="J12" s="22"/>
      <c r="K12" s="22"/>
      <c r="L12" s="3" t="s">
        <v>28</v>
      </c>
      <c r="M12" s="3" t="s">
        <v>2</v>
      </c>
      <c r="N12" s="3" t="s">
        <v>3</v>
      </c>
      <c r="O12" s="3" t="s">
        <v>4</v>
      </c>
      <c r="P12" s="3" t="s">
        <v>5</v>
      </c>
      <c r="Q12" s="3" t="s">
        <v>6</v>
      </c>
      <c r="R12" s="3" t="s">
        <v>29</v>
      </c>
      <c r="S12" s="22"/>
      <c r="T12" s="22"/>
      <c r="U12" s="22"/>
      <c r="V12" s="22"/>
      <c r="W12" s="22"/>
      <c r="X12" s="22"/>
      <c r="Y12" s="22"/>
      <c r="Z12" s="22"/>
      <c r="AA12" s="22"/>
      <c r="AB12" s="22"/>
      <c r="AC12" s="22"/>
      <c r="AD12" s="22"/>
      <c r="AE12" s="22"/>
    </row>
    <row r="13" spans="1:31" ht="15.75" customHeight="1" thickBot="1" x14ac:dyDescent="0.3">
      <c r="A13" s="70"/>
      <c r="B13" s="68" t="s">
        <v>31</v>
      </c>
      <c r="C13" s="69"/>
      <c r="D13" s="8"/>
      <c r="E13" s="6"/>
      <c r="F13" s="6"/>
      <c r="G13" s="6"/>
      <c r="H13" s="7"/>
      <c r="I13" s="22"/>
      <c r="J13" s="22"/>
      <c r="K13" s="22"/>
      <c r="L13" s="3" t="s">
        <v>23</v>
      </c>
      <c r="M13" s="45">
        <v>1</v>
      </c>
      <c r="N13" s="46">
        <v>1</v>
      </c>
      <c r="O13" s="46">
        <v>1</v>
      </c>
      <c r="P13" s="46">
        <v>1</v>
      </c>
      <c r="Q13" s="46">
        <v>1</v>
      </c>
      <c r="R13" s="47">
        <v>1</v>
      </c>
      <c r="S13" s="22"/>
      <c r="T13" s="22"/>
      <c r="U13" s="22"/>
      <c r="V13" s="22"/>
      <c r="W13" s="22"/>
      <c r="X13" s="22"/>
      <c r="Y13" s="22"/>
      <c r="Z13" s="22"/>
      <c r="AA13" s="22"/>
      <c r="AB13" s="22"/>
      <c r="AC13" s="22"/>
      <c r="AD13" s="22"/>
      <c r="AE13" s="22"/>
    </row>
    <row r="14" spans="1:31" ht="15.75" thickBot="1" x14ac:dyDescent="0.3">
      <c r="A14" s="70"/>
      <c r="B14" s="68"/>
      <c r="C14" s="69"/>
      <c r="D14" s="8"/>
      <c r="E14" s="6"/>
      <c r="F14" s="6"/>
      <c r="G14" s="6"/>
      <c r="H14" s="7"/>
      <c r="I14" s="22"/>
      <c r="J14" s="22"/>
      <c r="K14" s="22"/>
      <c r="L14" s="3" t="s">
        <v>24</v>
      </c>
      <c r="M14" s="45">
        <v>2</v>
      </c>
      <c r="N14" s="46">
        <v>2</v>
      </c>
      <c r="O14" s="46">
        <v>2</v>
      </c>
      <c r="P14" s="46">
        <v>2</v>
      </c>
      <c r="Q14" s="46">
        <v>2</v>
      </c>
      <c r="R14" s="47">
        <v>2</v>
      </c>
      <c r="S14" s="22"/>
      <c r="T14" s="22"/>
      <c r="U14" s="22"/>
      <c r="V14" s="22"/>
      <c r="W14" s="22"/>
      <c r="X14" s="22"/>
      <c r="Y14" s="22"/>
      <c r="Z14" s="22"/>
      <c r="AA14" s="22"/>
      <c r="AB14" s="22"/>
      <c r="AC14" s="22"/>
      <c r="AD14" s="22"/>
      <c r="AE14" s="22"/>
    </row>
    <row r="15" spans="1:31" ht="15.75" thickBot="1" x14ac:dyDescent="0.3">
      <c r="A15" s="70"/>
      <c r="B15" s="68"/>
      <c r="C15" s="69"/>
      <c r="D15" s="8"/>
      <c r="E15" s="6"/>
      <c r="F15" s="6"/>
      <c r="G15" s="6"/>
      <c r="H15" s="7"/>
      <c r="I15" s="22"/>
      <c r="J15" s="22"/>
      <c r="K15" s="22"/>
      <c r="L15" s="3" t="s">
        <v>25</v>
      </c>
      <c r="M15" s="45">
        <v>1</v>
      </c>
      <c r="N15" s="46">
        <v>2</v>
      </c>
      <c r="O15" s="46">
        <v>3</v>
      </c>
      <c r="P15" s="46">
        <v>4</v>
      </c>
      <c r="Q15" s="46">
        <v>5</v>
      </c>
      <c r="R15" s="47">
        <v>6</v>
      </c>
      <c r="S15" s="22"/>
      <c r="T15" s="22"/>
      <c r="U15" s="22"/>
      <c r="V15" s="22"/>
      <c r="W15" s="22"/>
      <c r="X15" s="22"/>
      <c r="Y15" s="22"/>
      <c r="Z15" s="22"/>
      <c r="AA15" s="22"/>
      <c r="AB15" s="22"/>
      <c r="AC15" s="22"/>
      <c r="AD15" s="22"/>
      <c r="AE15" s="22"/>
    </row>
    <row r="16" spans="1:31" ht="15.75" thickBot="1" x14ac:dyDescent="0.3">
      <c r="A16" s="70"/>
      <c r="B16" s="68"/>
      <c r="C16" s="69"/>
      <c r="D16" s="8"/>
      <c r="E16" s="6"/>
      <c r="F16" s="6"/>
      <c r="G16" s="6"/>
      <c r="H16" s="7"/>
      <c r="I16" s="22"/>
      <c r="J16" s="22"/>
      <c r="K16" s="22"/>
      <c r="L16" s="3" t="s">
        <v>26</v>
      </c>
      <c r="M16" s="45">
        <v>0</v>
      </c>
      <c r="N16" s="46">
        <v>1</v>
      </c>
      <c r="O16" s="46">
        <v>0</v>
      </c>
      <c r="P16" s="46">
        <v>1</v>
      </c>
      <c r="Q16" s="46">
        <v>0</v>
      </c>
      <c r="R16" s="47">
        <v>1</v>
      </c>
      <c r="S16" s="22"/>
      <c r="T16" s="22"/>
      <c r="U16" s="22"/>
      <c r="V16" s="22"/>
      <c r="W16" s="22"/>
      <c r="X16" s="22"/>
      <c r="Y16" s="22"/>
      <c r="Z16" s="22"/>
      <c r="AA16" s="22"/>
      <c r="AB16" s="22"/>
      <c r="AC16" s="22"/>
      <c r="AD16" s="22"/>
      <c r="AE16" s="22"/>
    </row>
    <row r="17" spans="1:31" ht="15.75" thickBot="1" x14ac:dyDescent="0.3">
      <c r="A17" s="70"/>
      <c r="B17" s="71" t="s">
        <v>32</v>
      </c>
      <c r="C17" s="72"/>
      <c r="D17" s="8"/>
      <c r="E17" s="6"/>
      <c r="F17" s="6"/>
      <c r="G17" s="6"/>
      <c r="H17" s="7"/>
      <c r="I17" s="22"/>
      <c r="J17" s="22"/>
      <c r="K17" s="22"/>
      <c r="L17" s="3" t="s">
        <v>27</v>
      </c>
      <c r="M17" s="51">
        <v>5</v>
      </c>
      <c r="N17" s="52">
        <v>4</v>
      </c>
      <c r="O17" s="52">
        <v>3</v>
      </c>
      <c r="P17" s="52">
        <v>2</v>
      </c>
      <c r="Q17" s="52">
        <v>1</v>
      </c>
      <c r="R17" s="53">
        <v>0</v>
      </c>
      <c r="S17" s="22"/>
      <c r="T17" s="22"/>
      <c r="U17" s="22"/>
      <c r="V17" s="22"/>
      <c r="W17" s="22"/>
      <c r="X17" s="22"/>
      <c r="Y17" s="22"/>
      <c r="Z17" s="22"/>
      <c r="AA17" s="22"/>
      <c r="AB17" s="22"/>
      <c r="AC17" s="22"/>
      <c r="AD17" s="22"/>
      <c r="AE17" s="22"/>
    </row>
    <row r="18" spans="1:31" x14ac:dyDescent="0.25">
      <c r="A18" s="62" t="s">
        <v>34</v>
      </c>
      <c r="B18" s="62"/>
      <c r="C18" s="62"/>
      <c r="D18" s="8"/>
      <c r="E18" s="6"/>
      <c r="F18" s="6"/>
      <c r="G18" s="6"/>
      <c r="H18" s="7"/>
      <c r="I18" s="22"/>
      <c r="J18" s="22"/>
      <c r="K18" s="22"/>
      <c r="L18" s="22"/>
      <c r="M18" s="22"/>
      <c r="N18" s="22"/>
      <c r="O18" s="22"/>
      <c r="P18" s="22"/>
      <c r="Q18" s="22"/>
      <c r="R18" s="22"/>
      <c r="S18" s="22"/>
      <c r="T18" s="22"/>
      <c r="U18" s="22"/>
      <c r="V18" s="22"/>
      <c r="W18" s="22"/>
      <c r="X18" s="22"/>
      <c r="Y18" s="22"/>
      <c r="Z18" s="22"/>
      <c r="AA18" s="22"/>
      <c r="AB18" s="22"/>
      <c r="AC18" s="22"/>
      <c r="AD18" s="22"/>
      <c r="AE18" s="22"/>
    </row>
    <row r="19" spans="1:31" x14ac:dyDescent="0.25">
      <c r="A19" s="62"/>
      <c r="B19" s="62"/>
      <c r="C19" s="62"/>
      <c r="D19" s="8"/>
      <c r="E19" s="6"/>
      <c r="F19" s="6"/>
      <c r="G19" s="6"/>
      <c r="H19" s="7"/>
      <c r="I19" s="22"/>
      <c r="J19" s="22"/>
      <c r="K19" s="22"/>
      <c r="L19" s="22"/>
      <c r="M19" s="22"/>
      <c r="N19" s="22"/>
      <c r="O19" s="22"/>
      <c r="P19" s="22"/>
      <c r="Q19" s="22"/>
      <c r="R19" s="22"/>
      <c r="S19" s="22"/>
      <c r="T19" s="22"/>
      <c r="U19" s="22"/>
      <c r="V19" s="22"/>
      <c r="W19" s="22"/>
      <c r="X19" s="22"/>
      <c r="Y19" s="22"/>
      <c r="Z19" s="22"/>
      <c r="AA19" s="22"/>
      <c r="AB19" s="22"/>
      <c r="AC19" s="22"/>
      <c r="AD19" s="22"/>
      <c r="AE19" s="22"/>
    </row>
    <row r="20" spans="1:31" ht="15.75" thickBot="1" x14ac:dyDescent="0.3">
      <c r="A20" s="62"/>
      <c r="B20" s="62"/>
      <c r="C20" s="62"/>
      <c r="D20" s="9"/>
      <c r="E20" s="10"/>
      <c r="F20" s="10"/>
      <c r="G20" s="10"/>
      <c r="H20" s="11"/>
      <c r="I20" s="22"/>
      <c r="J20" s="22"/>
      <c r="K20" s="22"/>
      <c r="L20" s="22"/>
      <c r="M20" s="22"/>
      <c r="N20" s="22"/>
      <c r="O20" s="22"/>
      <c r="P20" s="22"/>
      <c r="Q20" s="22"/>
      <c r="R20" s="22"/>
      <c r="S20" s="22"/>
      <c r="T20" s="22"/>
      <c r="U20" s="22"/>
      <c r="V20" s="22"/>
      <c r="W20" s="22"/>
      <c r="X20" s="22"/>
      <c r="Y20" s="22"/>
      <c r="Z20" s="22"/>
      <c r="AA20" s="22"/>
      <c r="AB20" s="22"/>
      <c r="AC20" s="22"/>
      <c r="AD20" s="22"/>
      <c r="AE20" s="22"/>
    </row>
    <row r="21" spans="1:31" x14ac:dyDescent="0.25">
      <c r="A21" s="22"/>
      <c r="B21" s="22"/>
      <c r="C21" s="22"/>
      <c r="D21" s="22"/>
      <c r="E21" s="22"/>
      <c r="F21" s="22"/>
      <c r="G21" s="22"/>
      <c r="H21" s="22"/>
      <c r="I21" s="22"/>
      <c r="J21" s="22"/>
      <c r="K21" s="22"/>
      <c r="L21" s="22"/>
      <c r="M21" s="22"/>
      <c r="N21" s="22"/>
      <c r="O21" s="22"/>
      <c r="P21" s="22"/>
      <c r="Q21" s="22"/>
      <c r="R21" s="22"/>
      <c r="S21" s="22"/>
      <c r="T21" s="22"/>
      <c r="U21" s="22"/>
      <c r="V21" s="22"/>
      <c r="W21" s="22"/>
      <c r="X21" s="22"/>
      <c r="Y21" s="22"/>
      <c r="Z21" s="22"/>
      <c r="AA21" s="22"/>
      <c r="AB21" s="22"/>
      <c r="AC21" s="22"/>
      <c r="AD21" s="22"/>
      <c r="AE21" s="22"/>
    </row>
    <row r="22" spans="1:31" x14ac:dyDescent="0.25">
      <c r="A22" s="22"/>
      <c r="B22" s="22"/>
      <c r="C22" s="22"/>
      <c r="D22" s="22"/>
      <c r="E22" s="22"/>
      <c r="F22" s="22"/>
      <c r="G22" s="22"/>
      <c r="H22" s="22"/>
      <c r="I22" s="22"/>
      <c r="J22" s="22"/>
      <c r="K22" s="22"/>
      <c r="L22" s="22"/>
      <c r="M22" s="22"/>
      <c r="N22" s="22"/>
      <c r="O22" s="22"/>
      <c r="P22" s="22"/>
      <c r="Q22" s="22"/>
      <c r="R22" s="22"/>
      <c r="S22" s="22"/>
      <c r="T22" s="22"/>
      <c r="U22" s="22"/>
      <c r="V22" s="22"/>
      <c r="W22" s="22"/>
      <c r="X22" s="22"/>
      <c r="Y22" s="22"/>
      <c r="Z22" s="22"/>
      <c r="AA22" s="22"/>
      <c r="AB22" s="22"/>
      <c r="AC22" s="22"/>
      <c r="AD22" s="22"/>
      <c r="AE22" s="22"/>
    </row>
    <row r="23" spans="1:31" x14ac:dyDescent="0.25">
      <c r="A23" s="22"/>
      <c r="B23" s="22"/>
      <c r="C23" s="22"/>
      <c r="D23" s="22"/>
      <c r="E23" s="22"/>
      <c r="F23" s="22"/>
      <c r="G23" s="22"/>
      <c r="H23" s="22"/>
      <c r="I23" s="22"/>
      <c r="J23" s="22"/>
      <c r="K23" s="22"/>
      <c r="L23" s="22"/>
      <c r="M23" s="22"/>
      <c r="N23" s="22"/>
      <c r="O23" s="22"/>
      <c r="P23" s="22"/>
      <c r="Q23" s="22"/>
      <c r="R23" s="22"/>
      <c r="S23" s="22"/>
      <c r="T23" s="22"/>
      <c r="U23" s="22"/>
      <c r="V23" s="22"/>
      <c r="W23" s="22"/>
      <c r="X23" s="22"/>
      <c r="Y23" s="22"/>
      <c r="Z23" s="22"/>
      <c r="AA23" s="22"/>
      <c r="AB23" s="22"/>
      <c r="AC23" s="22"/>
      <c r="AD23" s="22"/>
      <c r="AE23" s="22"/>
    </row>
    <row r="24" spans="1:31" x14ac:dyDescent="0.25">
      <c r="A24" s="22"/>
      <c r="B24" s="22"/>
      <c r="C24" s="22"/>
      <c r="D24" s="22"/>
      <c r="E24" s="22"/>
      <c r="F24" s="22"/>
      <c r="G24" s="22"/>
      <c r="H24" s="22"/>
      <c r="I24" s="22"/>
      <c r="J24" s="22"/>
      <c r="K24" s="22"/>
      <c r="L24" s="22"/>
      <c r="M24" s="22"/>
      <c r="N24" s="22"/>
      <c r="O24" s="22"/>
      <c r="P24" s="22"/>
      <c r="Q24" s="22"/>
      <c r="R24" s="22"/>
      <c r="S24" s="22"/>
      <c r="T24" s="22"/>
      <c r="U24" s="22"/>
      <c r="V24" s="22"/>
      <c r="W24" s="22"/>
      <c r="X24" s="22"/>
      <c r="Y24" s="22"/>
      <c r="Z24" s="22"/>
      <c r="AA24" s="22"/>
      <c r="AB24" s="22"/>
      <c r="AC24" s="22"/>
      <c r="AD24" s="22"/>
      <c r="AE24" s="22"/>
    </row>
    <row r="25" spans="1:31" x14ac:dyDescent="0.25">
      <c r="A25" s="22"/>
      <c r="B25" s="22"/>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row>
    <row r="26" spans="1:31" x14ac:dyDescent="0.25">
      <c r="A26" s="22"/>
      <c r="B26" s="22"/>
      <c r="C26" s="22"/>
      <c r="D26" s="22"/>
      <c r="E26" s="22"/>
      <c r="F26" s="22"/>
      <c r="G26" s="22"/>
      <c r="H26" s="22"/>
      <c r="I26" s="22"/>
      <c r="J26" s="22"/>
      <c r="K26" s="22"/>
      <c r="L26" s="22"/>
      <c r="M26" s="22"/>
      <c r="N26" s="22"/>
      <c r="O26" s="22"/>
      <c r="P26" s="22"/>
      <c r="Q26" s="22"/>
      <c r="R26" s="22"/>
      <c r="S26" s="22"/>
      <c r="T26" s="22"/>
      <c r="U26" s="22"/>
      <c r="V26" s="22"/>
      <c r="W26" s="22"/>
      <c r="X26" s="22"/>
      <c r="Y26" s="22"/>
      <c r="Z26" s="22"/>
      <c r="AA26" s="22"/>
      <c r="AB26" s="22"/>
      <c r="AC26" s="22"/>
      <c r="AD26" s="22"/>
      <c r="AE26" s="22"/>
    </row>
    <row r="27" spans="1:31" x14ac:dyDescent="0.25">
      <c r="A27" s="22"/>
      <c r="B27" s="22"/>
      <c r="C27" s="22"/>
      <c r="D27" s="22"/>
      <c r="E27" s="22"/>
      <c r="F27" s="22"/>
      <c r="G27" s="22"/>
      <c r="H27" s="22"/>
      <c r="I27" s="22"/>
      <c r="J27" s="22"/>
      <c r="K27" s="22"/>
      <c r="L27" s="22"/>
      <c r="M27" s="22"/>
      <c r="N27" s="22"/>
      <c r="O27" s="22"/>
      <c r="P27" s="22"/>
      <c r="Q27" s="22"/>
      <c r="R27" s="22"/>
      <c r="S27" s="22"/>
      <c r="T27" s="22"/>
      <c r="U27" s="22"/>
      <c r="V27" s="22"/>
      <c r="W27" s="22"/>
      <c r="X27" s="22"/>
      <c r="Y27" s="22"/>
      <c r="Z27" s="22"/>
      <c r="AA27" s="22"/>
      <c r="AB27" s="22"/>
      <c r="AC27" s="22"/>
      <c r="AD27" s="22"/>
      <c r="AE27" s="22"/>
    </row>
    <row r="28" spans="1:31" x14ac:dyDescent="0.25">
      <c r="A28" s="22"/>
      <c r="B28" s="22"/>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row>
    <row r="29" spans="1:31" x14ac:dyDescent="0.25">
      <c r="A29" s="22"/>
      <c r="B29" s="22"/>
      <c r="C29" s="22"/>
      <c r="D29" s="22"/>
      <c r="E29" s="22"/>
      <c r="F29" s="22"/>
      <c r="G29" s="22"/>
      <c r="H29" s="22"/>
      <c r="I29" s="22"/>
      <c r="J29" s="22"/>
      <c r="K29" s="22"/>
      <c r="L29" s="22"/>
      <c r="M29" s="22"/>
      <c r="N29" s="22"/>
      <c r="O29" s="22"/>
      <c r="P29" s="22"/>
      <c r="Q29" s="22"/>
      <c r="R29" s="22"/>
      <c r="S29" s="22"/>
      <c r="T29" s="22"/>
      <c r="U29" s="22"/>
      <c r="V29" s="22"/>
      <c r="W29" s="22"/>
      <c r="X29" s="22"/>
      <c r="Y29" s="22"/>
      <c r="Z29" s="22"/>
      <c r="AA29" s="22"/>
      <c r="AB29" s="22"/>
      <c r="AC29" s="22"/>
      <c r="AD29" s="22"/>
      <c r="AE29" s="22"/>
    </row>
    <row r="30" spans="1:31" x14ac:dyDescent="0.25">
      <c r="A30" s="22"/>
      <c r="B30" s="22"/>
      <c r="C30" s="22"/>
      <c r="D30" s="22"/>
      <c r="E30" s="22"/>
      <c r="F30" s="22"/>
      <c r="G30" s="22"/>
      <c r="H30" s="22"/>
      <c r="I30" s="22"/>
      <c r="J30" s="22"/>
      <c r="K30" s="22"/>
      <c r="L30" s="22"/>
      <c r="M30" s="22"/>
      <c r="N30" s="22"/>
      <c r="O30" s="22"/>
      <c r="P30" s="22"/>
      <c r="Q30" s="22"/>
      <c r="R30" s="22"/>
      <c r="S30" s="22"/>
      <c r="T30" s="22"/>
      <c r="U30" s="22"/>
      <c r="V30" s="22"/>
      <c r="W30" s="22"/>
      <c r="X30" s="22"/>
      <c r="Y30" s="22"/>
      <c r="Z30" s="22"/>
      <c r="AA30" s="22"/>
      <c r="AB30" s="22"/>
      <c r="AC30" s="22"/>
      <c r="AD30" s="22"/>
      <c r="AE30" s="22"/>
    </row>
    <row r="31" spans="1:31" x14ac:dyDescent="0.25">
      <c r="A31" s="22"/>
      <c r="B31" s="22"/>
      <c r="C31" s="22"/>
      <c r="D31" s="22"/>
      <c r="E31" s="22"/>
      <c r="F31" s="22"/>
      <c r="G31" s="22"/>
      <c r="H31" s="22"/>
      <c r="I31" s="22"/>
      <c r="J31" s="22"/>
      <c r="K31" s="22"/>
      <c r="L31" s="22"/>
      <c r="M31" s="22"/>
      <c r="N31" s="22"/>
      <c r="O31" s="22"/>
      <c r="P31" s="22"/>
      <c r="Q31" s="22"/>
      <c r="R31" s="22"/>
      <c r="S31" s="22"/>
      <c r="T31" s="22"/>
      <c r="U31" s="22"/>
      <c r="V31" s="22"/>
      <c r="W31" s="22"/>
      <c r="X31" s="22"/>
      <c r="Y31" s="22"/>
      <c r="Z31" s="22"/>
      <c r="AA31" s="22"/>
      <c r="AB31" s="22"/>
      <c r="AC31" s="22"/>
      <c r="AD31" s="22"/>
      <c r="AE31" s="22"/>
    </row>
    <row r="32" spans="1:31" x14ac:dyDescent="0.25">
      <c r="A32" s="22"/>
      <c r="B32" s="22"/>
      <c r="C32" s="22"/>
      <c r="D32" s="22"/>
      <c r="E32" s="22"/>
      <c r="F32" s="22"/>
      <c r="G32" s="22"/>
      <c r="H32" s="22"/>
      <c r="I32" s="22"/>
      <c r="J32" s="22"/>
      <c r="K32" s="22"/>
      <c r="L32" s="22"/>
      <c r="M32" s="22"/>
      <c r="N32" s="22"/>
      <c r="O32" s="22"/>
      <c r="P32" s="22"/>
      <c r="Q32" s="22"/>
      <c r="R32" s="22"/>
      <c r="S32" s="22"/>
      <c r="T32" s="22"/>
      <c r="U32" s="22"/>
      <c r="V32" s="22"/>
      <c r="W32" s="22"/>
      <c r="X32" s="22"/>
      <c r="Y32" s="22"/>
      <c r="Z32" s="22"/>
      <c r="AA32" s="22"/>
      <c r="AB32" s="22"/>
      <c r="AC32" s="22"/>
      <c r="AD32" s="22"/>
      <c r="AE32" s="22"/>
    </row>
    <row r="33" spans="1:31" x14ac:dyDescent="0.25">
      <c r="A33" s="22"/>
      <c r="B33" s="22"/>
      <c r="C33" s="22"/>
      <c r="D33" s="22"/>
      <c r="E33" s="22"/>
      <c r="F33" s="22"/>
      <c r="G33" s="22"/>
      <c r="H33" s="22"/>
      <c r="I33" s="22"/>
      <c r="J33" s="22"/>
      <c r="K33" s="22"/>
      <c r="L33" s="22"/>
      <c r="M33" s="22"/>
      <c r="N33" s="22"/>
      <c r="O33" s="22"/>
      <c r="P33" s="22"/>
      <c r="Q33" s="22"/>
      <c r="R33" s="22"/>
      <c r="S33" s="22"/>
      <c r="T33" s="22"/>
      <c r="U33" s="22"/>
      <c r="V33" s="22"/>
      <c r="W33" s="22"/>
      <c r="X33" s="22"/>
      <c r="Y33" s="22"/>
      <c r="Z33" s="22"/>
      <c r="AA33" s="22"/>
      <c r="AB33" s="22"/>
      <c r="AC33" s="22"/>
      <c r="AD33" s="22"/>
      <c r="AE33" s="22"/>
    </row>
    <row r="34" spans="1:31" x14ac:dyDescent="0.25">
      <c r="A34" s="22"/>
      <c r="B34" s="22"/>
      <c r="C34" s="22"/>
      <c r="D34" s="22"/>
      <c r="E34" s="22"/>
      <c r="F34" s="22"/>
      <c r="G34" s="22"/>
      <c r="H34" s="22"/>
      <c r="I34" s="22"/>
      <c r="J34" s="22"/>
      <c r="K34" s="22"/>
      <c r="L34" s="22"/>
      <c r="M34" s="22"/>
      <c r="N34" s="22"/>
      <c r="O34" s="22"/>
      <c r="P34" s="22"/>
      <c r="Q34" s="22"/>
      <c r="R34" s="22"/>
      <c r="S34" s="22"/>
      <c r="T34" s="22"/>
      <c r="U34" s="22"/>
      <c r="V34" s="22"/>
      <c r="W34" s="22"/>
      <c r="X34" s="22"/>
      <c r="Y34" s="22"/>
      <c r="Z34" s="22"/>
      <c r="AA34" s="22"/>
      <c r="AB34" s="22"/>
      <c r="AC34" s="22"/>
      <c r="AD34" s="22"/>
      <c r="AE34" s="22"/>
    </row>
    <row r="35" spans="1:31" x14ac:dyDescent="0.25">
      <c r="A35" s="22"/>
      <c r="B35" s="22"/>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row>
    <row r="36" spans="1:31" x14ac:dyDescent="0.25">
      <c r="A36" s="22"/>
      <c r="B36" s="22"/>
      <c r="C36" s="22"/>
      <c r="D36" s="22"/>
      <c r="E36" s="22"/>
      <c r="F36" s="22"/>
      <c r="G36" s="22"/>
      <c r="H36" s="22"/>
      <c r="I36" s="22"/>
      <c r="J36" s="22"/>
      <c r="K36" s="22"/>
      <c r="L36" s="22"/>
      <c r="M36" s="22"/>
      <c r="N36" s="22"/>
      <c r="O36" s="22"/>
      <c r="P36" s="22"/>
      <c r="Q36" s="22"/>
      <c r="R36" s="22"/>
      <c r="S36" s="22"/>
      <c r="T36" s="22"/>
      <c r="U36" s="22"/>
      <c r="V36" s="22"/>
      <c r="W36" s="22"/>
      <c r="X36" s="22"/>
      <c r="Y36" s="22"/>
      <c r="Z36" s="22"/>
      <c r="AA36" s="22"/>
      <c r="AB36" s="22"/>
      <c r="AC36" s="22"/>
      <c r="AD36" s="22"/>
      <c r="AE36" s="22"/>
    </row>
    <row r="37" spans="1:31" x14ac:dyDescent="0.25">
      <c r="A37" s="22"/>
      <c r="B37" s="22"/>
      <c r="C37" s="22"/>
      <c r="D37" s="22"/>
      <c r="E37" s="22"/>
      <c r="F37" s="22"/>
      <c r="G37" s="22"/>
      <c r="H37" s="22"/>
      <c r="I37" s="22"/>
      <c r="J37" s="22"/>
      <c r="K37" s="22"/>
      <c r="L37" s="22"/>
      <c r="M37" s="22"/>
      <c r="N37" s="22"/>
      <c r="O37" s="22"/>
      <c r="P37" s="22"/>
      <c r="Q37" s="22"/>
      <c r="R37" s="22"/>
      <c r="S37" s="22"/>
      <c r="T37" s="22"/>
      <c r="U37" s="22"/>
      <c r="V37" s="22"/>
      <c r="W37" s="22"/>
      <c r="X37" s="22"/>
      <c r="Y37" s="22"/>
      <c r="Z37" s="22"/>
      <c r="AA37" s="22"/>
      <c r="AB37" s="22"/>
      <c r="AC37" s="22"/>
      <c r="AD37" s="22"/>
      <c r="AE37" s="22"/>
    </row>
    <row r="38" spans="1:31" x14ac:dyDescent="0.25">
      <c r="A38" s="22"/>
      <c r="B38" s="22"/>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row>
    <row r="39" spans="1:31" x14ac:dyDescent="0.25">
      <c r="A39" s="22"/>
      <c r="B39" s="22"/>
      <c r="C39" s="22"/>
      <c r="D39" s="22"/>
      <c r="E39" s="22"/>
      <c r="F39" s="22"/>
      <c r="G39" s="22"/>
      <c r="H39" s="22"/>
      <c r="I39" s="22"/>
      <c r="J39" s="22"/>
      <c r="K39" s="22"/>
      <c r="L39" s="22"/>
      <c r="M39" s="22"/>
      <c r="N39" s="22"/>
      <c r="O39" s="22"/>
      <c r="P39" s="22"/>
      <c r="Q39" s="22"/>
      <c r="R39" s="22"/>
      <c r="S39" s="22"/>
      <c r="T39" s="22"/>
      <c r="U39" s="22"/>
      <c r="V39" s="22"/>
      <c r="W39" s="22"/>
      <c r="X39" s="22"/>
      <c r="Y39" s="22"/>
      <c r="Z39" s="22"/>
      <c r="AA39" s="22"/>
      <c r="AB39" s="22"/>
      <c r="AC39" s="22"/>
      <c r="AD39" s="22"/>
      <c r="AE39" s="22"/>
    </row>
    <row r="40" spans="1:31" x14ac:dyDescent="0.25">
      <c r="A40" s="22"/>
      <c r="B40" s="22"/>
      <c r="C40" s="22"/>
      <c r="D40" s="22"/>
      <c r="E40" s="22"/>
      <c r="F40" s="22"/>
      <c r="G40" s="22"/>
      <c r="H40" s="22"/>
      <c r="I40" s="22"/>
      <c r="J40" s="22"/>
      <c r="K40" s="22"/>
      <c r="L40" s="22"/>
      <c r="M40" s="22"/>
      <c r="N40" s="22"/>
      <c r="O40" s="22"/>
      <c r="P40" s="22"/>
      <c r="Q40" s="22"/>
      <c r="R40" s="22"/>
      <c r="S40" s="22"/>
      <c r="T40" s="22"/>
      <c r="U40" s="22"/>
      <c r="V40" s="22"/>
      <c r="W40" s="22"/>
      <c r="X40" s="22"/>
      <c r="Y40" s="22"/>
      <c r="Z40" s="22"/>
      <c r="AA40" s="22"/>
      <c r="AB40" s="22"/>
      <c r="AC40" s="22"/>
      <c r="AD40" s="22"/>
      <c r="AE40" s="22"/>
    </row>
    <row r="41" spans="1:31" x14ac:dyDescent="0.25">
      <c r="A41" s="22"/>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1" x14ac:dyDescent="0.25">
      <c r="A42" s="22"/>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1" x14ac:dyDescent="0.25">
      <c r="A43" s="22"/>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1" x14ac:dyDescent="0.25">
      <c r="A44" s="22"/>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1" x14ac:dyDescent="0.25">
      <c r="A45" s="22"/>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1" x14ac:dyDescent="0.25">
      <c r="A46" s="22"/>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1" x14ac:dyDescent="0.25">
      <c r="A47" s="22"/>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1" x14ac:dyDescent="0.25">
      <c r="A48" s="22"/>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x14ac:dyDescent="0.25">
      <c r="A49" s="22"/>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x14ac:dyDescent="0.25">
      <c r="A50" s="22"/>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22"/>
      <c r="B51" s="22"/>
      <c r="C51" s="22"/>
      <c r="D51" s="22"/>
      <c r="E51" s="22"/>
      <c r="F51" s="22"/>
      <c r="G51" s="22"/>
      <c r="H51" s="22"/>
      <c r="I51" s="22"/>
      <c r="J51" s="22"/>
      <c r="K51" s="22"/>
      <c r="L51" s="22"/>
      <c r="M51" s="22"/>
      <c r="N51" s="22"/>
      <c r="O51" s="22"/>
      <c r="P51" s="22"/>
      <c r="Q51" s="22"/>
      <c r="R51" s="22"/>
      <c r="S51" s="22"/>
      <c r="T51" s="22"/>
      <c r="U51" s="22"/>
      <c r="V51" s="22"/>
      <c r="W51" s="22"/>
      <c r="X51" s="22"/>
      <c r="Y51" s="22"/>
      <c r="Z51" s="22"/>
      <c r="AA51" s="22"/>
      <c r="AB51" s="22"/>
      <c r="AC51" s="22"/>
      <c r="AD51" s="22"/>
      <c r="AE51" s="22"/>
    </row>
    <row r="52" spans="1:31" x14ac:dyDescent="0.25">
      <c r="A52" s="22"/>
      <c r="B52" s="22"/>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row>
    <row r="53" spans="1:31" x14ac:dyDescent="0.25">
      <c r="A53" s="22"/>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x14ac:dyDescent="0.25">
      <c r="A54" s="22"/>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A55" s="22"/>
      <c r="B55" s="22"/>
      <c r="C55" s="22"/>
      <c r="D55" s="22"/>
      <c r="E55" s="22"/>
      <c r="F55" s="22"/>
      <c r="G55" s="22"/>
      <c r="H55" s="22"/>
      <c r="I55" s="22"/>
      <c r="J55" s="22"/>
      <c r="K55" s="22"/>
      <c r="L55" s="22"/>
      <c r="M55" s="22"/>
      <c r="N55" s="22"/>
      <c r="O55" s="22"/>
      <c r="P55" s="22"/>
      <c r="Q55" s="22"/>
      <c r="R55" s="22"/>
      <c r="S55" s="22"/>
      <c r="T55" s="22"/>
      <c r="U55" s="22"/>
      <c r="V55" s="22"/>
      <c r="W55" s="22"/>
      <c r="X55" s="22"/>
      <c r="Y55" s="22"/>
      <c r="Z55" s="22"/>
      <c r="AA55" s="22"/>
      <c r="AB55" s="22"/>
      <c r="AC55" s="22"/>
      <c r="AD55" s="22"/>
      <c r="AE55" s="22"/>
    </row>
    <row r="56" spans="1:31" x14ac:dyDescent="0.25">
      <c r="A56" s="22"/>
      <c r="B56" s="22"/>
      <c r="C56" s="22"/>
      <c r="D56" s="22"/>
      <c r="E56" s="22"/>
      <c r="F56" s="22"/>
      <c r="G56" s="22"/>
      <c r="H56" s="22"/>
      <c r="I56" s="22"/>
      <c r="J56" s="22"/>
      <c r="K56" s="22"/>
      <c r="L56" s="22"/>
      <c r="M56" s="22"/>
      <c r="N56" s="22"/>
      <c r="O56" s="22"/>
      <c r="P56" s="22"/>
      <c r="Q56" s="22"/>
      <c r="R56" s="22"/>
      <c r="S56" s="22"/>
      <c r="T56" s="22"/>
      <c r="U56" s="22"/>
      <c r="V56" s="22"/>
      <c r="W56" s="22"/>
      <c r="X56" s="22"/>
      <c r="Y56" s="22"/>
      <c r="Z56" s="22"/>
      <c r="AA56" s="22"/>
      <c r="AB56" s="22"/>
      <c r="AC56" s="22"/>
      <c r="AD56" s="22"/>
      <c r="AE56" s="22"/>
    </row>
    <row r="57" spans="1:31" x14ac:dyDescent="0.25">
      <c r="A57" s="22"/>
      <c r="B57" s="22"/>
      <c r="C57" s="22"/>
      <c r="D57" s="22"/>
      <c r="E57" s="22"/>
      <c r="F57" s="22"/>
      <c r="G57" s="22"/>
      <c r="H57" s="22"/>
      <c r="I57" s="22"/>
      <c r="J57" s="22"/>
      <c r="K57" s="22"/>
      <c r="L57" s="22"/>
      <c r="M57" s="22"/>
      <c r="N57" s="22"/>
      <c r="O57" s="22"/>
      <c r="P57" s="22"/>
      <c r="Q57" s="22"/>
      <c r="R57" s="22"/>
      <c r="S57" s="22"/>
      <c r="T57" s="22"/>
      <c r="U57" s="22"/>
      <c r="V57" s="22"/>
      <c r="W57" s="22"/>
      <c r="X57" s="22"/>
      <c r="Y57" s="22"/>
      <c r="Z57" s="22"/>
      <c r="AA57" s="22"/>
      <c r="AB57" s="22"/>
      <c r="AC57" s="22"/>
      <c r="AD57" s="22"/>
      <c r="AE57" s="22"/>
    </row>
    <row r="58" spans="1:31" x14ac:dyDescent="0.25">
      <c r="A58" s="22"/>
      <c r="B58" s="22"/>
      <c r="C58" s="22"/>
      <c r="D58" s="22"/>
      <c r="E58" s="22"/>
      <c r="F58" s="22"/>
      <c r="G58" s="22"/>
      <c r="H58" s="22"/>
      <c r="I58" s="22"/>
      <c r="J58" s="22"/>
      <c r="K58" s="22"/>
      <c r="L58" s="22"/>
      <c r="M58" s="22"/>
      <c r="N58" s="22"/>
      <c r="O58" s="22"/>
      <c r="P58" s="22"/>
      <c r="Q58" s="22"/>
      <c r="R58" s="22"/>
      <c r="S58" s="22"/>
      <c r="T58" s="22"/>
      <c r="U58" s="22"/>
      <c r="V58" s="22"/>
      <c r="W58" s="22"/>
      <c r="X58" s="22"/>
      <c r="Y58" s="22"/>
      <c r="Z58" s="22"/>
      <c r="AA58" s="22"/>
      <c r="AB58" s="22"/>
      <c r="AC58" s="22"/>
      <c r="AD58" s="22"/>
      <c r="AE58" s="22"/>
    </row>
    <row r="59" spans="1:31" x14ac:dyDescent="0.25">
      <c r="A59" s="22"/>
      <c r="B59" s="22"/>
      <c r="C59" s="22"/>
      <c r="D59" s="22"/>
      <c r="E59" s="22"/>
      <c r="F59" s="22"/>
      <c r="G59" s="22"/>
      <c r="H59" s="22"/>
      <c r="I59" s="22"/>
      <c r="J59" s="22"/>
      <c r="K59" s="22"/>
      <c r="L59" s="22"/>
      <c r="M59" s="22"/>
      <c r="N59" s="22"/>
      <c r="O59" s="22"/>
      <c r="P59" s="22"/>
      <c r="Q59" s="22"/>
      <c r="R59" s="22"/>
      <c r="S59" s="22"/>
      <c r="T59" s="22"/>
      <c r="U59" s="22"/>
      <c r="V59" s="22"/>
      <c r="W59" s="22"/>
      <c r="X59" s="22"/>
      <c r="Y59" s="22"/>
      <c r="Z59" s="22"/>
      <c r="AA59" s="22"/>
      <c r="AB59" s="22"/>
      <c r="AC59" s="22"/>
      <c r="AD59" s="22"/>
      <c r="AE59" s="22"/>
    </row>
    <row r="60" spans="1:31" x14ac:dyDescent="0.25">
      <c r="A60" s="22"/>
      <c r="B60" s="22"/>
      <c r="C60" s="22"/>
      <c r="D60" s="22"/>
      <c r="E60" s="22"/>
      <c r="F60" s="22"/>
      <c r="G60" s="22"/>
      <c r="H60" s="22"/>
      <c r="I60" s="22"/>
      <c r="J60" s="22"/>
      <c r="K60" s="22"/>
      <c r="L60" s="22"/>
      <c r="M60" s="22"/>
      <c r="N60" s="22"/>
      <c r="O60" s="22"/>
      <c r="P60" s="22"/>
      <c r="Q60" s="22"/>
      <c r="R60" s="22"/>
      <c r="S60" s="22"/>
      <c r="T60" s="22"/>
      <c r="U60" s="22"/>
      <c r="V60" s="22"/>
      <c r="W60" s="22"/>
      <c r="X60" s="22"/>
      <c r="Y60" s="22"/>
      <c r="Z60" s="22"/>
      <c r="AA60" s="22"/>
      <c r="AB60" s="22"/>
      <c r="AC60" s="22"/>
      <c r="AD60" s="22"/>
      <c r="AE60" s="22"/>
    </row>
    <row r="61" spans="1:3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row>
    <row r="62" spans="1:31" x14ac:dyDescent="0.25">
      <c r="A62" s="22"/>
      <c r="B62" s="22"/>
      <c r="C62" s="22"/>
      <c r="D62" s="22"/>
      <c r="E62" s="22"/>
      <c r="F62" s="22"/>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row>
    <row r="63" spans="1:31" x14ac:dyDescent="0.25">
      <c r="A63" s="22"/>
      <c r="B63" s="22"/>
      <c r="C63" s="22"/>
      <c r="D63" s="22"/>
      <c r="E63" s="22"/>
      <c r="F63" s="22"/>
      <c r="G63" s="22"/>
      <c r="H63" s="22"/>
      <c r="I63" s="22"/>
      <c r="J63" s="22"/>
      <c r="K63" s="22"/>
      <c r="L63" s="22"/>
      <c r="M63" s="22"/>
      <c r="N63" s="22"/>
      <c r="O63" s="22"/>
      <c r="P63" s="22"/>
      <c r="Q63" s="22"/>
      <c r="R63" s="22"/>
      <c r="S63" s="22"/>
      <c r="T63" s="22"/>
      <c r="U63" s="22"/>
      <c r="V63" s="22"/>
      <c r="W63" s="22"/>
      <c r="X63" s="22"/>
      <c r="Y63" s="22"/>
      <c r="Z63" s="22"/>
      <c r="AA63" s="22"/>
      <c r="AB63" s="22"/>
      <c r="AC63" s="22"/>
      <c r="AD63" s="22"/>
      <c r="AE63" s="22"/>
    </row>
    <row r="64" spans="1:31" x14ac:dyDescent="0.25">
      <c r="A64" s="22"/>
      <c r="B64" s="22"/>
      <c r="C64" s="22"/>
      <c r="D64" s="22"/>
      <c r="E64" s="22"/>
      <c r="F64" s="22"/>
      <c r="G64" s="22"/>
      <c r="H64" s="22"/>
      <c r="I64" s="22"/>
      <c r="J64" s="22"/>
      <c r="K64" s="22"/>
      <c r="L64" s="22"/>
      <c r="M64" s="22"/>
      <c r="N64" s="22"/>
      <c r="O64" s="22"/>
      <c r="P64" s="22"/>
      <c r="Q64" s="22"/>
      <c r="R64" s="22"/>
      <c r="S64" s="22"/>
      <c r="T64" s="22"/>
      <c r="U64" s="22"/>
      <c r="V64" s="22"/>
      <c r="W64" s="22"/>
      <c r="X64" s="22"/>
      <c r="Y64" s="22"/>
      <c r="Z64" s="22"/>
      <c r="AA64" s="22"/>
      <c r="AB64" s="22"/>
      <c r="AC64" s="22"/>
      <c r="AD64" s="22"/>
      <c r="AE64" s="22"/>
    </row>
    <row r="65" spans="1:31" x14ac:dyDescent="0.25">
      <c r="A65" s="22"/>
      <c r="B65" s="22"/>
      <c r="C65" s="22"/>
      <c r="D65" s="22"/>
      <c r="E65" s="22"/>
      <c r="F65" s="22"/>
      <c r="G65" s="22"/>
      <c r="H65" s="22"/>
      <c r="I65" s="22"/>
      <c r="J65" s="22"/>
      <c r="K65" s="22"/>
      <c r="L65" s="22"/>
      <c r="M65" s="22"/>
      <c r="N65" s="22"/>
      <c r="O65" s="22"/>
      <c r="P65" s="22"/>
      <c r="Q65" s="22"/>
      <c r="R65" s="22"/>
      <c r="S65" s="22"/>
      <c r="T65" s="22"/>
      <c r="U65" s="22"/>
      <c r="V65" s="22"/>
      <c r="W65" s="22"/>
      <c r="X65" s="22"/>
      <c r="Y65" s="22"/>
      <c r="Z65" s="22"/>
      <c r="AA65" s="22"/>
      <c r="AB65" s="22"/>
      <c r="AC65" s="22"/>
      <c r="AD65" s="22"/>
      <c r="AE65" s="22"/>
    </row>
    <row r="66" spans="1:31" x14ac:dyDescent="0.25">
      <c r="A66" s="22"/>
      <c r="B66" s="22"/>
      <c r="C66" s="22"/>
      <c r="D66" s="22"/>
      <c r="E66" s="22"/>
      <c r="F66" s="22"/>
      <c r="G66" s="22"/>
      <c r="H66" s="22"/>
      <c r="I66" s="22"/>
      <c r="J66" s="22"/>
      <c r="K66" s="22"/>
      <c r="L66" s="22"/>
      <c r="M66" s="22"/>
      <c r="N66" s="22"/>
      <c r="O66" s="22"/>
      <c r="P66" s="22"/>
      <c r="Q66" s="22"/>
      <c r="R66" s="22"/>
      <c r="S66" s="22"/>
      <c r="T66" s="22"/>
      <c r="U66" s="22"/>
      <c r="V66" s="22"/>
      <c r="W66" s="22"/>
      <c r="X66" s="22"/>
      <c r="Y66" s="22"/>
      <c r="Z66" s="22"/>
      <c r="AA66" s="22"/>
      <c r="AB66" s="22"/>
      <c r="AC66" s="22"/>
      <c r="AD66" s="22"/>
      <c r="AE66" s="22"/>
    </row>
    <row r="67" spans="1:31" x14ac:dyDescent="0.25">
      <c r="A67" s="22"/>
      <c r="B67" s="22"/>
      <c r="C67" s="22"/>
      <c r="D67" s="22"/>
      <c r="E67" s="22"/>
      <c r="F67" s="22"/>
      <c r="G67" s="22"/>
      <c r="H67" s="22"/>
      <c r="I67" s="22"/>
      <c r="J67" s="22"/>
      <c r="K67" s="22"/>
      <c r="L67" s="22"/>
      <c r="M67" s="22"/>
      <c r="N67" s="22"/>
      <c r="O67" s="22"/>
      <c r="P67" s="22"/>
      <c r="Q67" s="22"/>
      <c r="R67" s="22"/>
      <c r="S67" s="22"/>
      <c r="T67" s="22"/>
      <c r="U67" s="22"/>
      <c r="V67" s="22"/>
      <c r="W67" s="22"/>
      <c r="X67" s="22"/>
      <c r="Y67" s="22"/>
      <c r="Z67" s="22"/>
      <c r="AA67" s="22"/>
      <c r="AB67" s="22"/>
      <c r="AC67" s="22"/>
      <c r="AD67" s="22"/>
      <c r="AE67" s="22"/>
    </row>
    <row r="68" spans="1:31" x14ac:dyDescent="0.25">
      <c r="A68" s="22"/>
      <c r="B68" s="2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row>
    <row r="69" spans="1:31" x14ac:dyDescent="0.25">
      <c r="A69" s="22"/>
      <c r="B69" s="22"/>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row>
    <row r="70" spans="1:31" x14ac:dyDescent="0.25">
      <c r="A70" s="22"/>
      <c r="B70" s="22"/>
      <c r="C70" s="22"/>
      <c r="D70" s="22"/>
      <c r="E70" s="22"/>
      <c r="F70" s="22"/>
      <c r="G70" s="22"/>
      <c r="H70" s="22"/>
      <c r="I70" s="22"/>
      <c r="J70" s="22"/>
      <c r="K70" s="22"/>
      <c r="L70" s="22"/>
      <c r="M70" s="22"/>
      <c r="N70" s="22"/>
      <c r="O70" s="22"/>
      <c r="P70" s="22"/>
      <c r="Q70" s="22"/>
      <c r="R70" s="22"/>
      <c r="S70" s="22"/>
      <c r="T70" s="22"/>
      <c r="U70" s="22"/>
      <c r="V70" s="22"/>
      <c r="W70" s="22"/>
      <c r="X70" s="22"/>
      <c r="Y70" s="22"/>
      <c r="Z70" s="22"/>
      <c r="AA70" s="22"/>
      <c r="AB70" s="22"/>
      <c r="AC70" s="22"/>
      <c r="AD70" s="22"/>
      <c r="AE70" s="22"/>
    </row>
    <row r="71" spans="1:31" x14ac:dyDescent="0.25">
      <c r="A71" s="22"/>
      <c r="B71" s="22"/>
      <c r="C71" s="22"/>
      <c r="D71" s="22"/>
      <c r="E71" s="22"/>
      <c r="F71" s="22"/>
      <c r="G71" s="22"/>
      <c r="H71" s="22"/>
      <c r="I71" s="22"/>
      <c r="J71" s="22"/>
      <c r="K71" s="22"/>
      <c r="L71" s="22"/>
      <c r="M71" s="22"/>
      <c r="N71" s="22"/>
      <c r="O71" s="22"/>
      <c r="P71" s="22"/>
      <c r="Q71" s="22"/>
      <c r="R71" s="22"/>
      <c r="S71" s="22"/>
      <c r="T71" s="22"/>
      <c r="U71" s="22"/>
      <c r="V71" s="22"/>
      <c r="W71" s="22"/>
      <c r="X71" s="22"/>
      <c r="Y71" s="22"/>
      <c r="Z71" s="22"/>
      <c r="AA71" s="22"/>
      <c r="AB71" s="22"/>
      <c r="AC71" s="22"/>
      <c r="AD71" s="22"/>
      <c r="AE71" s="22"/>
    </row>
  </sheetData>
  <mergeCells count="11">
    <mergeCell ref="A18:C20"/>
    <mergeCell ref="A1:C2"/>
    <mergeCell ref="B11:C12"/>
    <mergeCell ref="B13:C16"/>
    <mergeCell ref="A11:A17"/>
    <mergeCell ref="B17:C17"/>
    <mergeCell ref="A3:C4"/>
    <mergeCell ref="A5:C7"/>
    <mergeCell ref="A8:C10"/>
    <mergeCell ref="L11:R11"/>
    <mergeCell ref="D2:E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hisWorkbook.sumBills">
                <anchor moveWithCells="1" sizeWithCells="1">
                  <from>
                    <xdr:col>5</xdr:col>
                    <xdr:colOff>95250</xdr:colOff>
                    <xdr:row>1</xdr:row>
                    <xdr:rowOff>38100</xdr:rowOff>
                  </from>
                  <to>
                    <xdr:col>7</xdr:col>
                    <xdr:colOff>495300</xdr:colOff>
                    <xdr:row>5</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opysheet">
                <anchor moveWithCells="1" sizeWithCells="1">
                  <from>
                    <xdr:col>5</xdr:col>
                    <xdr:colOff>95250</xdr:colOff>
                    <xdr:row>6</xdr:row>
                    <xdr:rowOff>9525</xdr:rowOff>
                  </from>
                  <to>
                    <xdr:col>7</xdr:col>
                    <xdr:colOff>485775</xdr:colOff>
                    <xdr:row>7</xdr:row>
                    <xdr:rowOff>85725</xdr:rowOff>
                  </to>
                </anchor>
              </controlPr>
            </control>
          </mc:Choice>
        </mc:AlternateContent>
        <mc:AlternateContent xmlns:mc="http://schemas.openxmlformats.org/markup-compatibility/2006">
          <mc:Choice Requires="x14">
            <control shapeId="1027" r:id="rId6" name="Button 3">
              <controlPr defaultSize="0" print="0" autoFill="0" autoPict="0" macro="[0]!ThisWorkbook.refreshCategories">
                <anchor moveWithCells="1" sizeWithCells="1">
                  <from>
                    <xdr:col>14</xdr:col>
                    <xdr:colOff>323850</xdr:colOff>
                    <xdr:row>8</xdr:row>
                    <xdr:rowOff>180975</xdr:rowOff>
                  </from>
                  <to>
                    <xdr:col>17</xdr:col>
                    <xdr:colOff>600075</xdr:colOff>
                    <xdr:row>9</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BFC51-C61C-48B6-B8C6-27B8196870CE}">
  <sheetPr codeName="Sheet2"/>
  <dimension ref="A1:O56"/>
  <sheetViews>
    <sheetView tabSelected="1" zoomScale="85" zoomScaleNormal="85" workbookViewId="0">
      <pane ySplit="1" topLeftCell="A2" activePane="bottomLeft" state="frozen"/>
      <selection pane="bottomLeft" activeCell="U32" sqref="U32"/>
    </sheetView>
  </sheetViews>
  <sheetFormatPr defaultColWidth="8.7109375" defaultRowHeight="14.25" x14ac:dyDescent="0.2"/>
  <cols>
    <col min="1" max="1" width="16.42578125" style="1" bestFit="1" customWidth="1"/>
    <col min="2" max="2" width="8.7109375" style="1"/>
    <col min="3" max="3" width="22" style="1" bestFit="1" customWidth="1"/>
    <col min="4" max="4" width="9" style="50" bestFit="1" customWidth="1"/>
    <col min="5" max="10" width="8.7109375" style="1"/>
    <col min="11" max="11" width="11.42578125" style="1" bestFit="1" customWidth="1"/>
    <col min="12" max="16384" width="8.7109375" style="1"/>
  </cols>
  <sheetData>
    <row r="1" spans="1:15" ht="29.25" customHeight="1" thickBot="1" x14ac:dyDescent="0.25">
      <c r="A1" s="4" t="s">
        <v>0</v>
      </c>
      <c r="B1" s="4" t="s">
        <v>0</v>
      </c>
      <c r="C1" s="4" t="s">
        <v>1</v>
      </c>
      <c r="D1" s="48" t="s">
        <v>28</v>
      </c>
      <c r="E1" s="12" t="s">
        <v>2</v>
      </c>
      <c r="F1" s="13" t="s">
        <v>3</v>
      </c>
      <c r="G1" s="13" t="s">
        <v>4</v>
      </c>
      <c r="H1" s="13" t="s">
        <v>5</v>
      </c>
      <c r="I1" s="13" t="s">
        <v>6</v>
      </c>
      <c r="J1" s="32" t="s">
        <v>16</v>
      </c>
      <c r="K1" s="37" t="s">
        <v>15</v>
      </c>
      <c r="L1" s="5" t="s">
        <v>7</v>
      </c>
      <c r="M1" s="5" t="s">
        <v>8</v>
      </c>
      <c r="N1" s="5" t="s">
        <v>9</v>
      </c>
      <c r="O1" s="5" t="s">
        <v>10</v>
      </c>
    </row>
    <row r="2" spans="1:15" ht="15" x14ac:dyDescent="0.25">
      <c r="A2" t="s">
        <v>36</v>
      </c>
      <c r="B2" t="s">
        <v>37</v>
      </c>
      <c r="C2" s="75" t="s">
        <v>40</v>
      </c>
      <c r="D2" s="49" t="s">
        <v>23</v>
      </c>
      <c r="E2" s="8">
        <v>1</v>
      </c>
      <c r="F2" s="6">
        <v>1</v>
      </c>
      <c r="G2" s="6">
        <v>1</v>
      </c>
      <c r="H2" s="40">
        <v>1</v>
      </c>
      <c r="I2" s="40">
        <v>1</v>
      </c>
      <c r="J2" s="33">
        <v>1</v>
      </c>
      <c r="K2" s="38">
        <f>(SplashPage!$E$3 *E2) + (SplashPage!$E$4*F2) + (SplashPage!$E$5 *G2) + (SplashPage!$E$6 *H2) + (SplashPage!$E$7 *I2) + (SplashPage!$E$8 * J2)</f>
        <v>22</v>
      </c>
      <c r="L2" s="34">
        <f xml:space="preserve"> FLOOR(K2/20, 1)</f>
        <v>1</v>
      </c>
      <c r="M2" s="14">
        <f xml:space="preserve"> FLOOR((K2 - L2*20)/10, 1)</f>
        <v>0</v>
      </c>
      <c r="N2" s="14">
        <f xml:space="preserve"> FLOOR((K2 - L2*20 - M2*10)/5, 1)</f>
        <v>0</v>
      </c>
      <c r="O2" s="15">
        <f xml:space="preserve"> FLOOR((K2 - L2*20 - M2*10 - N2 *5)/1, 1)</f>
        <v>2</v>
      </c>
    </row>
    <row r="3" spans="1:15" ht="15" x14ac:dyDescent="0.25">
      <c r="A3" t="s">
        <v>36</v>
      </c>
      <c r="B3" t="s">
        <v>38</v>
      </c>
      <c r="C3" s="76" t="s">
        <v>39</v>
      </c>
      <c r="D3" s="49" t="s">
        <v>24</v>
      </c>
      <c r="E3" s="8">
        <v>2</v>
      </c>
      <c r="F3" s="6">
        <v>2</v>
      </c>
      <c r="G3" s="6">
        <v>2</v>
      </c>
      <c r="H3" s="6">
        <v>2</v>
      </c>
      <c r="I3" s="6">
        <v>2</v>
      </c>
      <c r="J3" s="33">
        <v>2</v>
      </c>
      <c r="K3" s="38">
        <f>(SplashPage!$E$3 *E3) + (SplashPage!$E$4*F3) + (SplashPage!$E$5 *G3) + (SplashPage!$E$6 *H3) + (SplashPage!$E$7 *I3) + (SplashPage!$E$8 * J3)</f>
        <v>44</v>
      </c>
      <c r="L3" s="35">
        <f t="shared" ref="L3:L4" si="0" xml:space="preserve"> FLOOR(K3/20, 1)</f>
        <v>2</v>
      </c>
      <c r="M3" s="16">
        <f t="shared" ref="M3:M4" si="1" xml:space="preserve"> FLOOR((K3 - L3*20)/10, 1)</f>
        <v>0</v>
      </c>
      <c r="N3" s="16">
        <f t="shared" ref="N3:N4" si="2" xml:space="preserve"> FLOOR((K3 - L3*20 - M3*10)/5, 1)</f>
        <v>0</v>
      </c>
      <c r="O3" s="17">
        <f t="shared" ref="O3:O4" si="3" xml:space="preserve"> FLOOR((K3 - L3*20 - M3*10 - N3 *5)/1, 1)</f>
        <v>4</v>
      </c>
    </row>
    <row r="4" spans="1:15" ht="15" x14ac:dyDescent="0.25">
      <c r="A4" t="s">
        <v>36</v>
      </c>
      <c r="B4" t="s">
        <v>43</v>
      </c>
      <c r="C4" s="76" t="s">
        <v>41</v>
      </c>
      <c r="D4" s="49" t="s">
        <v>25</v>
      </c>
      <c r="E4" s="8">
        <v>1</v>
      </c>
      <c r="F4" s="6">
        <v>2</v>
      </c>
      <c r="G4" s="6">
        <v>3</v>
      </c>
      <c r="H4" s="6">
        <v>4</v>
      </c>
      <c r="I4" s="6">
        <v>5</v>
      </c>
      <c r="J4" s="33">
        <v>6</v>
      </c>
      <c r="K4" s="38">
        <f>(SplashPage!$E$3 *E4) + (SplashPage!$E$4*F4) + (SplashPage!$E$5 *G4) + (SplashPage!$E$6 *H4) + (SplashPage!$E$7 *I4) + (SplashPage!$E$8 * J4)</f>
        <v>49</v>
      </c>
      <c r="L4" s="36">
        <f t="shared" si="0"/>
        <v>2</v>
      </c>
      <c r="M4" s="18">
        <f t="shared" si="1"/>
        <v>0</v>
      </c>
      <c r="N4" s="18">
        <f t="shared" si="2"/>
        <v>1</v>
      </c>
      <c r="O4" s="19">
        <f t="shared" si="3"/>
        <v>4</v>
      </c>
    </row>
    <row r="5" spans="1:15" ht="15" x14ac:dyDescent="0.25">
      <c r="A5" t="s">
        <v>36</v>
      </c>
      <c r="B5" t="s">
        <v>44</v>
      </c>
      <c r="C5" s="76" t="s">
        <v>42</v>
      </c>
      <c r="D5" s="49" t="s">
        <v>26</v>
      </c>
      <c r="E5" s="8">
        <v>0</v>
      </c>
      <c r="F5" s="6">
        <v>1</v>
      </c>
      <c r="G5" s="6">
        <v>0</v>
      </c>
      <c r="H5" s="6">
        <v>1</v>
      </c>
      <c r="I5" s="6">
        <v>0</v>
      </c>
      <c r="J5" s="33">
        <v>1</v>
      </c>
      <c r="K5" s="38">
        <f>(SplashPage!$E$3 *E5) + (SplashPage!$E$4*F5) + (SplashPage!$E$5 *G5) + (SplashPage!$E$6 *H5) + (SplashPage!$E$7 *I5) + (SplashPage!$E$8 * J5)</f>
        <v>7</v>
      </c>
      <c r="L5" s="35">
        <f t="shared" ref="L5:L55" si="4" xml:space="preserve"> FLOOR(K5/20, 1)</f>
        <v>0</v>
      </c>
      <c r="M5" s="16">
        <f t="shared" ref="M5:M55" si="5" xml:space="preserve"> FLOOR((K5 - L5*20)/10, 1)</f>
        <v>0</v>
      </c>
      <c r="N5" s="16">
        <f t="shared" ref="N5:N55" si="6" xml:space="preserve"> FLOOR((K5 - L5*20 - M5*10)/5, 1)</f>
        <v>1</v>
      </c>
      <c r="O5" s="17">
        <f t="shared" ref="O5:O55" si="7" xml:space="preserve"> FLOOR((K5 - L5*20 - M5*10 - N5 *5)/1, 1)</f>
        <v>2</v>
      </c>
    </row>
    <row r="6" spans="1:15" ht="15" x14ac:dyDescent="0.25">
      <c r="A6" t="s">
        <v>36</v>
      </c>
      <c r="B6" t="s">
        <v>45</v>
      </c>
      <c r="C6" s="76" t="s">
        <v>47</v>
      </c>
      <c r="D6" s="49" t="s">
        <v>27</v>
      </c>
      <c r="E6" s="8">
        <v>5</v>
      </c>
      <c r="F6" s="6">
        <v>4</v>
      </c>
      <c r="G6" s="6">
        <v>3</v>
      </c>
      <c r="H6" s="6">
        <v>2</v>
      </c>
      <c r="I6" s="6">
        <v>1</v>
      </c>
      <c r="J6" s="33">
        <v>0</v>
      </c>
      <c r="K6" s="38">
        <f>(SplashPage!$E$3 *E6) + (SplashPage!$E$4*F6) + (SplashPage!$E$5 *G6) + (SplashPage!$E$6 *H6) + (SplashPage!$E$7 *I6) + (SplashPage!$E$8 * J6)</f>
        <v>83</v>
      </c>
      <c r="L6" s="36">
        <f t="shared" si="4"/>
        <v>4</v>
      </c>
      <c r="M6" s="18">
        <f t="shared" si="5"/>
        <v>0</v>
      </c>
      <c r="N6" s="18">
        <f t="shared" si="6"/>
        <v>0</v>
      </c>
      <c r="O6" s="19">
        <f t="shared" si="7"/>
        <v>3</v>
      </c>
    </row>
    <row r="7" spans="1:15" ht="15" x14ac:dyDescent="0.25">
      <c r="A7" t="s">
        <v>36</v>
      </c>
      <c r="B7" t="s">
        <v>46</v>
      </c>
      <c r="C7" s="76" t="s">
        <v>48</v>
      </c>
      <c r="D7" s="49" t="s">
        <v>23</v>
      </c>
      <c r="E7" s="8">
        <v>1</v>
      </c>
      <c r="F7" s="6">
        <v>1</v>
      </c>
      <c r="G7" s="6">
        <v>1</v>
      </c>
      <c r="H7" s="6">
        <v>1</v>
      </c>
      <c r="I7" s="6">
        <v>1</v>
      </c>
      <c r="J7" s="33">
        <v>1</v>
      </c>
      <c r="K7" s="38">
        <f>(SplashPage!$E$3 *E7) + (SplashPage!$E$4*F7) + (SplashPage!$E$5 *G7) + (SplashPage!$E$6 *H7) + (SplashPage!$E$7 *I7) + (SplashPage!$E$8 * J7)</f>
        <v>22</v>
      </c>
      <c r="L7" s="35">
        <f t="shared" si="4"/>
        <v>1</v>
      </c>
      <c r="M7" s="16">
        <f t="shared" si="5"/>
        <v>0</v>
      </c>
      <c r="N7" s="16">
        <f t="shared" si="6"/>
        <v>0</v>
      </c>
      <c r="O7" s="17">
        <f t="shared" si="7"/>
        <v>2</v>
      </c>
    </row>
    <row r="8" spans="1:15" ht="15" x14ac:dyDescent="0.25">
      <c r="A8" t="s">
        <v>36</v>
      </c>
      <c r="B8" t="s">
        <v>37</v>
      </c>
      <c r="C8" s="75" t="s">
        <v>49</v>
      </c>
      <c r="D8" s="49" t="s">
        <v>24</v>
      </c>
      <c r="E8" s="8">
        <v>2</v>
      </c>
      <c r="F8" s="6">
        <v>2</v>
      </c>
      <c r="G8" s="6">
        <v>2</v>
      </c>
      <c r="H8" s="6">
        <v>2</v>
      </c>
      <c r="I8" s="6">
        <v>2</v>
      </c>
      <c r="J8" s="33">
        <v>2</v>
      </c>
      <c r="K8" s="38">
        <f>(SplashPage!$E$3 *E8) + (SplashPage!$E$4*F8) + (SplashPage!$E$5 *G8) + (SplashPage!$E$6 *H8) + (SplashPage!$E$7 *I8) + (SplashPage!$E$8 * J8)</f>
        <v>44</v>
      </c>
      <c r="L8" s="36">
        <f t="shared" si="4"/>
        <v>2</v>
      </c>
      <c r="M8" s="18">
        <f t="shared" si="5"/>
        <v>0</v>
      </c>
      <c r="N8" s="18">
        <f t="shared" si="6"/>
        <v>0</v>
      </c>
      <c r="O8" s="19">
        <f t="shared" si="7"/>
        <v>4</v>
      </c>
    </row>
    <row r="9" spans="1:15" ht="15" x14ac:dyDescent="0.25">
      <c r="A9" t="s">
        <v>36</v>
      </c>
      <c r="B9" t="s">
        <v>38</v>
      </c>
      <c r="C9" s="76" t="s">
        <v>50</v>
      </c>
      <c r="D9" s="49" t="s">
        <v>25</v>
      </c>
      <c r="E9" s="8">
        <v>1</v>
      </c>
      <c r="F9" s="6">
        <v>2</v>
      </c>
      <c r="G9" s="6">
        <v>3</v>
      </c>
      <c r="H9" s="6">
        <v>4</v>
      </c>
      <c r="I9" s="6">
        <v>5</v>
      </c>
      <c r="J9" s="33">
        <v>6</v>
      </c>
      <c r="K9" s="38">
        <f>(SplashPage!$E$3 *E9) + (SplashPage!$E$4*F9) + (SplashPage!$E$5 *G9) + (SplashPage!$E$6 *H9) + (SplashPage!$E$7 *I9) + (SplashPage!$E$8 * J9)</f>
        <v>49</v>
      </c>
      <c r="L9" s="35">
        <f t="shared" si="4"/>
        <v>2</v>
      </c>
      <c r="M9" s="16">
        <f t="shared" si="5"/>
        <v>0</v>
      </c>
      <c r="N9" s="16">
        <f t="shared" si="6"/>
        <v>1</v>
      </c>
      <c r="O9" s="17">
        <f t="shared" si="7"/>
        <v>4</v>
      </c>
    </row>
    <row r="10" spans="1:15" ht="15" x14ac:dyDescent="0.25">
      <c r="A10" t="s">
        <v>36</v>
      </c>
      <c r="B10" t="s">
        <v>43</v>
      </c>
      <c r="C10" s="76" t="s">
        <v>51</v>
      </c>
      <c r="D10" s="49" t="s">
        <v>26</v>
      </c>
      <c r="E10" s="8">
        <v>0</v>
      </c>
      <c r="F10" s="6">
        <v>1</v>
      </c>
      <c r="G10" s="6">
        <v>0</v>
      </c>
      <c r="H10" s="6">
        <v>1</v>
      </c>
      <c r="I10" s="6">
        <v>0</v>
      </c>
      <c r="J10" s="33">
        <v>1</v>
      </c>
      <c r="K10" s="38">
        <f>(SplashPage!$E$3 *E10) + (SplashPage!$E$4*F10) + (SplashPage!$E$5 *G10) + (SplashPage!$E$6 *H10) + (SplashPage!$E$7 *I10) + (SplashPage!$E$8 * J10)</f>
        <v>7</v>
      </c>
      <c r="L10" s="36">
        <f t="shared" si="4"/>
        <v>0</v>
      </c>
      <c r="M10" s="18">
        <f t="shared" si="5"/>
        <v>0</v>
      </c>
      <c r="N10" s="18">
        <f t="shared" si="6"/>
        <v>1</v>
      </c>
      <c r="O10" s="19">
        <f t="shared" si="7"/>
        <v>2</v>
      </c>
    </row>
    <row r="11" spans="1:15" ht="15" x14ac:dyDescent="0.25">
      <c r="A11" t="s">
        <v>36</v>
      </c>
      <c r="B11" t="s">
        <v>44</v>
      </c>
      <c r="C11" s="76" t="s">
        <v>52</v>
      </c>
      <c r="D11" s="49" t="s">
        <v>27</v>
      </c>
      <c r="E11" s="8">
        <v>5</v>
      </c>
      <c r="F11" s="6">
        <v>4</v>
      </c>
      <c r="G11" s="6">
        <v>3</v>
      </c>
      <c r="H11" s="6">
        <v>2</v>
      </c>
      <c r="I11" s="6">
        <v>1</v>
      </c>
      <c r="J11" s="33">
        <v>0</v>
      </c>
      <c r="K11" s="38">
        <f>(SplashPage!$E$3 *E11) + (SplashPage!$E$4*F11) + (SplashPage!$E$5 *G11) + (SplashPage!$E$6 *H11) + (SplashPage!$E$7 *I11) + (SplashPage!$E$8 * J11)</f>
        <v>83</v>
      </c>
      <c r="L11" s="35">
        <f t="shared" si="4"/>
        <v>4</v>
      </c>
      <c r="M11" s="16">
        <f t="shared" si="5"/>
        <v>0</v>
      </c>
      <c r="N11" s="16">
        <f t="shared" si="6"/>
        <v>0</v>
      </c>
      <c r="O11" s="17">
        <f t="shared" si="7"/>
        <v>3</v>
      </c>
    </row>
    <row r="12" spans="1:15" ht="15" x14ac:dyDescent="0.25">
      <c r="A12" t="s">
        <v>36</v>
      </c>
      <c r="B12" t="s">
        <v>45</v>
      </c>
      <c r="C12" s="76" t="s">
        <v>53</v>
      </c>
      <c r="D12" s="49" t="s">
        <v>23</v>
      </c>
      <c r="E12" s="8">
        <v>1</v>
      </c>
      <c r="F12" s="6">
        <v>1</v>
      </c>
      <c r="G12" s="6">
        <v>1</v>
      </c>
      <c r="H12" s="6">
        <v>1</v>
      </c>
      <c r="I12" s="6">
        <v>1</v>
      </c>
      <c r="J12" s="33">
        <v>1</v>
      </c>
      <c r="K12" s="38">
        <f>(SplashPage!$E$3 *E12) + (SplashPage!$E$4*F12) + (SplashPage!$E$5 *G12) + (SplashPage!$E$6 *H12) + (SplashPage!$E$7 *I12) + (SplashPage!$E$8 * J12)</f>
        <v>22</v>
      </c>
      <c r="L12" s="36">
        <f t="shared" si="4"/>
        <v>1</v>
      </c>
      <c r="M12" s="18">
        <f t="shared" si="5"/>
        <v>0</v>
      </c>
      <c r="N12" s="18">
        <f t="shared" si="6"/>
        <v>0</v>
      </c>
      <c r="O12" s="19">
        <f t="shared" si="7"/>
        <v>2</v>
      </c>
    </row>
    <row r="13" spans="1:15" ht="15" x14ac:dyDescent="0.25">
      <c r="A13" t="s">
        <v>36</v>
      </c>
      <c r="B13" t="s">
        <v>46</v>
      </c>
      <c r="C13" s="76" t="s">
        <v>54</v>
      </c>
      <c r="D13" s="49" t="s">
        <v>24</v>
      </c>
      <c r="E13" s="8">
        <v>2</v>
      </c>
      <c r="F13" s="6">
        <v>2</v>
      </c>
      <c r="G13" s="6">
        <v>2</v>
      </c>
      <c r="H13" s="6">
        <v>2</v>
      </c>
      <c r="I13" s="6">
        <v>2</v>
      </c>
      <c r="J13" s="33">
        <v>2</v>
      </c>
      <c r="K13" s="38">
        <f>(SplashPage!$E$3 *E13) + (SplashPage!$E$4*F13) + (SplashPage!$E$5 *G13) + (SplashPage!$E$6 *H13) + (SplashPage!$E$7 *I13) + (SplashPage!$E$8 * J13)</f>
        <v>44</v>
      </c>
      <c r="L13" s="35">
        <f t="shared" si="4"/>
        <v>2</v>
      </c>
      <c r="M13" s="16">
        <f t="shared" si="5"/>
        <v>0</v>
      </c>
      <c r="N13" s="16">
        <f t="shared" si="6"/>
        <v>0</v>
      </c>
      <c r="O13" s="17">
        <f t="shared" si="7"/>
        <v>4</v>
      </c>
    </row>
    <row r="14" spans="1:15" ht="15" x14ac:dyDescent="0.25">
      <c r="A14" t="s">
        <v>36</v>
      </c>
      <c r="B14" t="s">
        <v>37</v>
      </c>
      <c r="C14" s="75" t="s">
        <v>55</v>
      </c>
      <c r="D14" s="49" t="s">
        <v>25</v>
      </c>
      <c r="E14" s="8">
        <v>1</v>
      </c>
      <c r="F14" s="6">
        <v>2</v>
      </c>
      <c r="G14" s="6">
        <v>3</v>
      </c>
      <c r="H14" s="6">
        <v>4</v>
      </c>
      <c r="I14" s="6">
        <v>5</v>
      </c>
      <c r="J14" s="33">
        <v>6</v>
      </c>
      <c r="K14" s="38">
        <f>(SplashPage!$E$3 *E14) + (SplashPage!$E$4*F14) + (SplashPage!$E$5 *G14) + (SplashPage!$E$6 *H14) + (SplashPage!$E$7 *I14) + (SplashPage!$E$8 * J14)</f>
        <v>49</v>
      </c>
      <c r="L14" s="36">
        <f t="shared" si="4"/>
        <v>2</v>
      </c>
      <c r="M14" s="18">
        <f t="shared" si="5"/>
        <v>0</v>
      </c>
      <c r="N14" s="18">
        <f t="shared" si="6"/>
        <v>1</v>
      </c>
      <c r="O14" s="19">
        <f t="shared" si="7"/>
        <v>4</v>
      </c>
    </row>
    <row r="15" spans="1:15" ht="15" x14ac:dyDescent="0.25">
      <c r="A15" t="s">
        <v>36</v>
      </c>
      <c r="B15" t="s">
        <v>38</v>
      </c>
      <c r="C15" s="76" t="s">
        <v>56</v>
      </c>
      <c r="D15" s="49" t="s">
        <v>26</v>
      </c>
      <c r="E15" s="8">
        <v>0</v>
      </c>
      <c r="F15" s="6">
        <v>1</v>
      </c>
      <c r="G15" s="6">
        <v>0</v>
      </c>
      <c r="H15" s="6">
        <v>1</v>
      </c>
      <c r="I15" s="6">
        <v>0</v>
      </c>
      <c r="J15" s="33">
        <v>1</v>
      </c>
      <c r="K15" s="38">
        <f>(SplashPage!$E$3 *E15) + (SplashPage!$E$4*F15) + (SplashPage!$E$5 *G15) + (SplashPage!$E$6 *H15) + (SplashPage!$E$7 *I15) + (SplashPage!$E$8 * J15)</f>
        <v>7</v>
      </c>
      <c r="L15" s="35">
        <f t="shared" si="4"/>
        <v>0</v>
      </c>
      <c r="M15" s="16">
        <f t="shared" si="5"/>
        <v>0</v>
      </c>
      <c r="N15" s="16">
        <f t="shared" si="6"/>
        <v>1</v>
      </c>
      <c r="O15" s="17">
        <f t="shared" si="7"/>
        <v>2</v>
      </c>
    </row>
    <row r="16" spans="1:15" ht="15" x14ac:dyDescent="0.25">
      <c r="A16" t="s">
        <v>36</v>
      </c>
      <c r="B16" t="s">
        <v>43</v>
      </c>
      <c r="C16" s="76" t="s">
        <v>57</v>
      </c>
      <c r="D16" s="49" t="s">
        <v>27</v>
      </c>
      <c r="E16" s="8">
        <v>5</v>
      </c>
      <c r="F16" s="6">
        <v>4</v>
      </c>
      <c r="G16" s="6">
        <v>3</v>
      </c>
      <c r="H16" s="6">
        <v>2</v>
      </c>
      <c r="I16" s="6">
        <v>1</v>
      </c>
      <c r="J16" s="33">
        <v>0</v>
      </c>
      <c r="K16" s="38">
        <f>(SplashPage!$E$3 *E16) + (SplashPage!$E$4*F16) + (SplashPage!$E$5 *G16) + (SplashPage!$E$6 *H16) + (SplashPage!$E$7 *I16) + (SplashPage!$E$8 * J16)</f>
        <v>83</v>
      </c>
      <c r="L16" s="36">
        <f t="shared" si="4"/>
        <v>4</v>
      </c>
      <c r="M16" s="18">
        <f t="shared" si="5"/>
        <v>0</v>
      </c>
      <c r="N16" s="18">
        <f t="shared" si="6"/>
        <v>0</v>
      </c>
      <c r="O16" s="19">
        <f t="shared" si="7"/>
        <v>3</v>
      </c>
    </row>
    <row r="17" spans="1:15" ht="15" x14ac:dyDescent="0.25">
      <c r="A17" t="s">
        <v>36</v>
      </c>
      <c r="B17" t="s">
        <v>44</v>
      </c>
      <c r="C17" s="76" t="s">
        <v>58</v>
      </c>
      <c r="D17" s="49" t="s">
        <v>23</v>
      </c>
      <c r="E17" s="8">
        <v>1</v>
      </c>
      <c r="F17" s="6">
        <v>1</v>
      </c>
      <c r="G17" s="6">
        <v>1</v>
      </c>
      <c r="H17" s="6">
        <v>1</v>
      </c>
      <c r="I17" s="6">
        <v>1</v>
      </c>
      <c r="J17" s="33">
        <v>1</v>
      </c>
      <c r="K17" s="38">
        <f>(SplashPage!$E$3 *E17) + (SplashPage!$E$4*F17) + (SplashPage!$E$5 *G17) + (SplashPage!$E$6 *H17) + (SplashPage!$E$7 *I17) + (SplashPage!$E$8 * J17)</f>
        <v>22</v>
      </c>
      <c r="L17" s="35">
        <f t="shared" si="4"/>
        <v>1</v>
      </c>
      <c r="M17" s="16">
        <f t="shared" si="5"/>
        <v>0</v>
      </c>
      <c r="N17" s="16">
        <f t="shared" si="6"/>
        <v>0</v>
      </c>
      <c r="O17" s="17">
        <f t="shared" si="7"/>
        <v>2</v>
      </c>
    </row>
    <row r="18" spans="1:15" ht="15" x14ac:dyDescent="0.25">
      <c r="A18" t="s">
        <v>36</v>
      </c>
      <c r="B18" t="s">
        <v>45</v>
      </c>
      <c r="C18" s="76" t="s">
        <v>59</v>
      </c>
      <c r="D18" s="49" t="s">
        <v>24</v>
      </c>
      <c r="E18" s="8">
        <v>2</v>
      </c>
      <c r="F18" s="6">
        <v>2</v>
      </c>
      <c r="G18" s="6">
        <v>2</v>
      </c>
      <c r="H18" s="6">
        <v>2</v>
      </c>
      <c r="I18" s="6">
        <v>2</v>
      </c>
      <c r="J18" s="33">
        <v>2</v>
      </c>
      <c r="K18" s="38">
        <f>(SplashPage!$E$3 *E18) + (SplashPage!$E$4*F18) + (SplashPage!$E$5 *G18) + (SplashPage!$E$6 *H18) + (SplashPage!$E$7 *I18) + (SplashPage!$E$8 * J18)</f>
        <v>44</v>
      </c>
      <c r="L18" s="36">
        <f t="shared" si="4"/>
        <v>2</v>
      </c>
      <c r="M18" s="18">
        <f t="shared" si="5"/>
        <v>0</v>
      </c>
      <c r="N18" s="18">
        <f t="shared" si="6"/>
        <v>0</v>
      </c>
      <c r="O18" s="19">
        <f t="shared" si="7"/>
        <v>4</v>
      </c>
    </row>
    <row r="19" spans="1:15" ht="15" x14ac:dyDescent="0.25">
      <c r="A19" t="s">
        <v>36</v>
      </c>
      <c r="B19" t="s">
        <v>46</v>
      </c>
      <c r="C19" s="76" t="s">
        <v>60</v>
      </c>
      <c r="D19" s="49" t="s">
        <v>25</v>
      </c>
      <c r="E19" s="8">
        <v>1</v>
      </c>
      <c r="F19" s="6">
        <v>2</v>
      </c>
      <c r="G19" s="6">
        <v>3</v>
      </c>
      <c r="H19" s="6">
        <v>4</v>
      </c>
      <c r="I19" s="6">
        <v>5</v>
      </c>
      <c r="J19" s="33">
        <v>6</v>
      </c>
      <c r="K19" s="38">
        <f>(SplashPage!$E$3 *E19) + (SplashPage!$E$4*F19) + (SplashPage!$E$5 *G19) + (SplashPage!$E$6 *H19) + (SplashPage!$E$7 *I19) + (SplashPage!$E$8 * J19)</f>
        <v>49</v>
      </c>
      <c r="L19" s="35">
        <f t="shared" si="4"/>
        <v>2</v>
      </c>
      <c r="M19" s="16">
        <f t="shared" si="5"/>
        <v>0</v>
      </c>
      <c r="N19" s="16">
        <f t="shared" si="6"/>
        <v>1</v>
      </c>
      <c r="O19" s="17">
        <f t="shared" si="7"/>
        <v>4</v>
      </c>
    </row>
    <row r="20" spans="1:15" ht="15" x14ac:dyDescent="0.25">
      <c r="A20" t="s">
        <v>36</v>
      </c>
      <c r="B20" t="s">
        <v>37</v>
      </c>
      <c r="C20" s="75" t="s">
        <v>61</v>
      </c>
      <c r="D20" s="49" t="s">
        <v>26</v>
      </c>
      <c r="E20" s="8">
        <v>0</v>
      </c>
      <c r="F20" s="6">
        <v>1</v>
      </c>
      <c r="G20" s="6">
        <v>0</v>
      </c>
      <c r="H20" s="6">
        <v>1</v>
      </c>
      <c r="I20" s="6">
        <v>0</v>
      </c>
      <c r="J20" s="33">
        <v>1</v>
      </c>
      <c r="K20" s="38">
        <f>(SplashPage!$E$3 *E20) + (SplashPage!$E$4*F20) + (SplashPage!$E$5 *G20) + (SplashPage!$E$6 *H20) + (SplashPage!$E$7 *I20) + (SplashPage!$E$8 * J20)</f>
        <v>7</v>
      </c>
      <c r="L20" s="36">
        <f t="shared" si="4"/>
        <v>0</v>
      </c>
      <c r="M20" s="18">
        <f t="shared" si="5"/>
        <v>0</v>
      </c>
      <c r="N20" s="18">
        <f t="shared" si="6"/>
        <v>1</v>
      </c>
      <c r="O20" s="19">
        <f t="shared" si="7"/>
        <v>2</v>
      </c>
    </row>
    <row r="21" spans="1:15" ht="15" x14ac:dyDescent="0.25">
      <c r="A21" t="s">
        <v>36</v>
      </c>
      <c r="B21" t="s">
        <v>38</v>
      </c>
      <c r="C21" s="76" t="s">
        <v>62</v>
      </c>
      <c r="D21" s="49" t="s">
        <v>27</v>
      </c>
      <c r="E21" s="8">
        <v>5</v>
      </c>
      <c r="F21" s="6">
        <v>4</v>
      </c>
      <c r="G21" s="6">
        <v>3</v>
      </c>
      <c r="H21" s="6">
        <v>2</v>
      </c>
      <c r="I21" s="6">
        <v>1</v>
      </c>
      <c r="J21" s="33">
        <v>0</v>
      </c>
      <c r="K21" s="38">
        <f>(SplashPage!$E$3 *E21) + (SplashPage!$E$4*F21) + (SplashPage!$E$5 *G21) + (SplashPage!$E$6 *H21) + (SplashPage!$E$7 *I21) + (SplashPage!$E$8 * J21)</f>
        <v>83</v>
      </c>
      <c r="L21" s="35">
        <f t="shared" si="4"/>
        <v>4</v>
      </c>
      <c r="M21" s="16">
        <f t="shared" si="5"/>
        <v>0</v>
      </c>
      <c r="N21" s="16">
        <f t="shared" si="6"/>
        <v>0</v>
      </c>
      <c r="O21" s="17">
        <f t="shared" si="7"/>
        <v>3</v>
      </c>
    </row>
    <row r="22" spans="1:15" ht="15" x14ac:dyDescent="0.25">
      <c r="A22" t="s">
        <v>36</v>
      </c>
      <c r="B22" t="s">
        <v>43</v>
      </c>
      <c r="C22" s="76" t="s">
        <v>63</v>
      </c>
      <c r="D22" s="49" t="s">
        <v>23</v>
      </c>
      <c r="E22" s="8">
        <v>1</v>
      </c>
      <c r="F22" s="6">
        <v>1</v>
      </c>
      <c r="G22" s="6">
        <v>1</v>
      </c>
      <c r="H22" s="6">
        <v>1</v>
      </c>
      <c r="I22" s="6">
        <v>1</v>
      </c>
      <c r="J22" s="33">
        <v>1</v>
      </c>
      <c r="K22" s="38">
        <f>(SplashPage!$E$3 *E22) + (SplashPage!$E$4*F22) + (SplashPage!$E$5 *G22) + (SplashPage!$E$6 *H22) + (SplashPage!$E$7 *I22) + (SplashPage!$E$8 * J22)</f>
        <v>22</v>
      </c>
      <c r="L22" s="36">
        <f t="shared" si="4"/>
        <v>1</v>
      </c>
      <c r="M22" s="18">
        <f t="shared" si="5"/>
        <v>0</v>
      </c>
      <c r="N22" s="18">
        <f t="shared" si="6"/>
        <v>0</v>
      </c>
      <c r="O22" s="19">
        <f t="shared" si="7"/>
        <v>2</v>
      </c>
    </row>
    <row r="23" spans="1:15" ht="15" x14ac:dyDescent="0.25">
      <c r="A23" t="s">
        <v>36</v>
      </c>
      <c r="B23" t="s">
        <v>44</v>
      </c>
      <c r="C23" s="76" t="s">
        <v>64</v>
      </c>
      <c r="D23" s="49" t="s">
        <v>24</v>
      </c>
      <c r="E23" s="8">
        <v>2</v>
      </c>
      <c r="F23" s="6">
        <v>2</v>
      </c>
      <c r="G23" s="6">
        <v>2</v>
      </c>
      <c r="H23" s="6">
        <v>2</v>
      </c>
      <c r="I23" s="6">
        <v>2</v>
      </c>
      <c r="J23" s="33">
        <v>2</v>
      </c>
      <c r="K23" s="38">
        <f>(SplashPage!$E$3 *E23) + (SplashPage!$E$4*F23) + (SplashPage!$E$5 *G23) + (SplashPage!$E$6 *H23) + (SplashPage!$E$7 *I23) + (SplashPage!$E$8 * J23)</f>
        <v>44</v>
      </c>
      <c r="L23" s="35">
        <f t="shared" si="4"/>
        <v>2</v>
      </c>
      <c r="M23" s="16">
        <f t="shared" si="5"/>
        <v>0</v>
      </c>
      <c r="N23" s="16">
        <f t="shared" si="6"/>
        <v>0</v>
      </c>
      <c r="O23" s="17">
        <f t="shared" si="7"/>
        <v>4</v>
      </c>
    </row>
    <row r="24" spans="1:15" ht="15" x14ac:dyDescent="0.25">
      <c r="A24" t="s">
        <v>36</v>
      </c>
      <c r="B24" t="s">
        <v>45</v>
      </c>
      <c r="C24" s="76" t="s">
        <v>65</v>
      </c>
      <c r="D24" s="49" t="s">
        <v>25</v>
      </c>
      <c r="E24" s="8">
        <v>1</v>
      </c>
      <c r="F24" s="6">
        <v>2</v>
      </c>
      <c r="G24" s="6">
        <v>3</v>
      </c>
      <c r="H24" s="6">
        <v>4</v>
      </c>
      <c r="I24" s="6">
        <v>5</v>
      </c>
      <c r="J24" s="33">
        <v>6</v>
      </c>
      <c r="K24" s="38">
        <f>(SplashPage!$E$3 *E24) + (SplashPage!$E$4*F24) + (SplashPage!$E$5 *G24) + (SplashPage!$E$6 *H24) + (SplashPage!$E$7 *I24) + (SplashPage!$E$8 * J24)</f>
        <v>49</v>
      </c>
      <c r="L24" s="36">
        <f t="shared" si="4"/>
        <v>2</v>
      </c>
      <c r="M24" s="18">
        <f t="shared" si="5"/>
        <v>0</v>
      </c>
      <c r="N24" s="18">
        <f t="shared" si="6"/>
        <v>1</v>
      </c>
      <c r="O24" s="19">
        <f t="shared" si="7"/>
        <v>4</v>
      </c>
    </row>
    <row r="25" spans="1:15" ht="15" x14ac:dyDescent="0.25">
      <c r="A25" t="s">
        <v>36</v>
      </c>
      <c r="B25" t="s">
        <v>46</v>
      </c>
      <c r="C25" s="75" t="s">
        <v>66</v>
      </c>
      <c r="D25" s="49" t="s">
        <v>26</v>
      </c>
      <c r="E25" s="8">
        <v>0</v>
      </c>
      <c r="F25" s="6">
        <v>1</v>
      </c>
      <c r="G25" s="6">
        <v>0</v>
      </c>
      <c r="H25" s="6">
        <v>1</v>
      </c>
      <c r="I25" s="6">
        <v>0</v>
      </c>
      <c r="J25" s="33">
        <v>1</v>
      </c>
      <c r="K25" s="38">
        <f>(SplashPage!$E$3 *E25) + (SplashPage!$E$4*F25) + (SplashPage!$E$5 *G25) + (SplashPage!$E$6 *H25) + (SplashPage!$E$7 *I25) + (SplashPage!$E$8 * J25)</f>
        <v>7</v>
      </c>
      <c r="L25" s="35">
        <f t="shared" si="4"/>
        <v>0</v>
      </c>
      <c r="M25" s="16">
        <f t="shared" si="5"/>
        <v>0</v>
      </c>
      <c r="N25" s="16">
        <f t="shared" si="6"/>
        <v>1</v>
      </c>
      <c r="O25" s="17">
        <f t="shared" si="7"/>
        <v>2</v>
      </c>
    </row>
    <row r="26" spans="1:15" ht="15" x14ac:dyDescent="0.25">
      <c r="A26" t="s">
        <v>36</v>
      </c>
      <c r="B26" t="s">
        <v>37</v>
      </c>
      <c r="C26" s="76" t="s">
        <v>67</v>
      </c>
      <c r="D26" s="49" t="s">
        <v>27</v>
      </c>
      <c r="E26" s="8">
        <v>5</v>
      </c>
      <c r="F26" s="6">
        <v>4</v>
      </c>
      <c r="G26" s="6">
        <v>3</v>
      </c>
      <c r="H26" s="6">
        <v>2</v>
      </c>
      <c r="I26" s="6">
        <v>1</v>
      </c>
      <c r="J26" s="33">
        <v>0</v>
      </c>
      <c r="K26" s="38">
        <f>(SplashPage!$E$3 *E26) + (SplashPage!$E$4*F26) + (SplashPage!$E$5 *G26) + (SplashPage!$E$6 *H26) + (SplashPage!$E$7 *I26) + (SplashPage!$E$8 * J26)</f>
        <v>83</v>
      </c>
      <c r="L26" s="36">
        <f t="shared" si="4"/>
        <v>4</v>
      </c>
      <c r="M26" s="18">
        <f t="shared" si="5"/>
        <v>0</v>
      </c>
      <c r="N26" s="18">
        <f t="shared" si="6"/>
        <v>0</v>
      </c>
      <c r="O26" s="19">
        <f t="shared" si="7"/>
        <v>3</v>
      </c>
    </row>
    <row r="27" spans="1:15" ht="15" x14ac:dyDescent="0.25">
      <c r="A27" t="s">
        <v>36</v>
      </c>
      <c r="B27" t="s">
        <v>38</v>
      </c>
      <c r="C27" s="76" t="s">
        <v>68</v>
      </c>
      <c r="D27" s="49" t="s">
        <v>23</v>
      </c>
      <c r="E27" s="8">
        <v>1</v>
      </c>
      <c r="F27" s="6">
        <v>1</v>
      </c>
      <c r="G27" s="6">
        <v>1</v>
      </c>
      <c r="H27" s="6">
        <v>1</v>
      </c>
      <c r="I27" s="6">
        <v>1</v>
      </c>
      <c r="J27" s="33">
        <v>1</v>
      </c>
      <c r="K27" s="38">
        <f>(SplashPage!$E$3 *E27) + (SplashPage!$E$4*F27) + (SplashPage!$E$5 *G27) + (SplashPage!$E$6 *H27) + (SplashPage!$E$7 *I27) + (SplashPage!$E$8 * J27)</f>
        <v>22</v>
      </c>
      <c r="L27" s="35">
        <f t="shared" si="4"/>
        <v>1</v>
      </c>
      <c r="M27" s="16">
        <f t="shared" si="5"/>
        <v>0</v>
      </c>
      <c r="N27" s="16">
        <f t="shared" si="6"/>
        <v>0</v>
      </c>
      <c r="O27" s="17">
        <f t="shared" si="7"/>
        <v>2</v>
      </c>
    </row>
    <row r="28" spans="1:15" ht="15" x14ac:dyDescent="0.25">
      <c r="A28" t="s">
        <v>36</v>
      </c>
      <c r="B28" t="s">
        <v>43</v>
      </c>
      <c r="C28" s="76" t="s">
        <v>69</v>
      </c>
      <c r="D28" s="49" t="s">
        <v>24</v>
      </c>
      <c r="E28" s="8">
        <v>2</v>
      </c>
      <c r="F28" s="6">
        <v>2</v>
      </c>
      <c r="G28" s="6">
        <v>2</v>
      </c>
      <c r="H28" s="6">
        <v>2</v>
      </c>
      <c r="I28" s="6">
        <v>2</v>
      </c>
      <c r="J28" s="33">
        <v>2</v>
      </c>
      <c r="K28" s="38">
        <f>(SplashPage!$E$3 *E28) + (SplashPage!$E$4*F28) + (SplashPage!$E$5 *G28) + (SplashPage!$E$6 *H28) + (SplashPage!$E$7 *I28) + (SplashPage!$E$8 * J28)</f>
        <v>44</v>
      </c>
      <c r="L28" s="35">
        <f t="shared" si="4"/>
        <v>2</v>
      </c>
      <c r="M28" s="16">
        <f t="shared" si="5"/>
        <v>0</v>
      </c>
      <c r="N28" s="16">
        <f t="shared" si="6"/>
        <v>0</v>
      </c>
      <c r="O28" s="17">
        <f t="shared" si="7"/>
        <v>4</v>
      </c>
    </row>
    <row r="29" spans="1:15" ht="15" x14ac:dyDescent="0.25">
      <c r="A29" t="s">
        <v>36</v>
      </c>
      <c r="B29" t="s">
        <v>44</v>
      </c>
      <c r="C29" s="76" t="s">
        <v>70</v>
      </c>
      <c r="D29" s="49" t="s">
        <v>25</v>
      </c>
      <c r="E29" s="8">
        <v>1</v>
      </c>
      <c r="F29" s="6">
        <v>2</v>
      </c>
      <c r="G29" s="6">
        <v>3</v>
      </c>
      <c r="H29" s="6">
        <v>4</v>
      </c>
      <c r="I29" s="6">
        <v>5</v>
      </c>
      <c r="J29" s="33">
        <v>6</v>
      </c>
      <c r="K29" s="38">
        <f>(SplashPage!$E$3 *E29) + (SplashPage!$E$4*F29) + (SplashPage!$E$5 *G29) + (SplashPage!$E$6 *H29) + (SplashPage!$E$7 *I29) + (SplashPage!$E$8 * J29)</f>
        <v>49</v>
      </c>
      <c r="L29" s="36">
        <f t="shared" si="4"/>
        <v>2</v>
      </c>
      <c r="M29" s="18">
        <f t="shared" si="5"/>
        <v>0</v>
      </c>
      <c r="N29" s="18">
        <f t="shared" si="6"/>
        <v>1</v>
      </c>
      <c r="O29" s="19">
        <f t="shared" si="7"/>
        <v>4</v>
      </c>
    </row>
    <row r="30" spans="1:15" ht="15" x14ac:dyDescent="0.25">
      <c r="A30" t="s">
        <v>36</v>
      </c>
      <c r="B30" t="s">
        <v>45</v>
      </c>
      <c r="C30" s="76" t="s">
        <v>71</v>
      </c>
      <c r="D30" s="49" t="s">
        <v>26</v>
      </c>
      <c r="E30" s="8">
        <v>0</v>
      </c>
      <c r="F30" s="6">
        <v>1</v>
      </c>
      <c r="G30" s="6">
        <v>0</v>
      </c>
      <c r="H30" s="6">
        <v>1</v>
      </c>
      <c r="I30" s="6">
        <v>0</v>
      </c>
      <c r="J30" s="33">
        <v>1</v>
      </c>
      <c r="K30" s="38">
        <f>(SplashPage!$E$3 *E30) + (SplashPage!$E$4*F30) + (SplashPage!$E$5 *G30) + (SplashPage!$E$6 *H30) + (SplashPage!$E$7 *I30) + (SplashPage!$E$8 * J30)</f>
        <v>7</v>
      </c>
      <c r="L30" s="35">
        <f t="shared" si="4"/>
        <v>0</v>
      </c>
      <c r="M30" s="16">
        <f t="shared" si="5"/>
        <v>0</v>
      </c>
      <c r="N30" s="16">
        <f t="shared" si="6"/>
        <v>1</v>
      </c>
      <c r="O30" s="17">
        <f t="shared" si="7"/>
        <v>2</v>
      </c>
    </row>
    <row r="31" spans="1:15" ht="15" x14ac:dyDescent="0.25">
      <c r="A31" t="s">
        <v>36</v>
      </c>
      <c r="B31" t="s">
        <v>46</v>
      </c>
      <c r="C31" s="75" t="s">
        <v>72</v>
      </c>
      <c r="D31" s="49" t="s">
        <v>27</v>
      </c>
      <c r="E31" s="8">
        <v>5</v>
      </c>
      <c r="F31" s="6">
        <v>4</v>
      </c>
      <c r="G31" s="6">
        <v>3</v>
      </c>
      <c r="H31" s="6">
        <v>2</v>
      </c>
      <c r="I31" s="6">
        <v>1</v>
      </c>
      <c r="J31" s="33">
        <v>0</v>
      </c>
      <c r="K31" s="38">
        <f>(SplashPage!$E$3 *E31) + (SplashPage!$E$4*F31) + (SplashPage!$E$5 *G31) + (SplashPage!$E$6 *H31) + (SplashPage!$E$7 *I31) + (SplashPage!$E$8 * J31)</f>
        <v>83</v>
      </c>
      <c r="L31" s="36">
        <f t="shared" si="4"/>
        <v>4</v>
      </c>
      <c r="M31" s="18">
        <f t="shared" si="5"/>
        <v>0</v>
      </c>
      <c r="N31" s="18">
        <f t="shared" si="6"/>
        <v>0</v>
      </c>
      <c r="O31" s="19">
        <f t="shared" si="7"/>
        <v>3</v>
      </c>
    </row>
    <row r="32" spans="1:15" ht="15" x14ac:dyDescent="0.25">
      <c r="A32" t="s">
        <v>36</v>
      </c>
      <c r="B32" t="s">
        <v>37</v>
      </c>
      <c r="C32" s="76" t="s">
        <v>73</v>
      </c>
      <c r="D32" s="49" t="s">
        <v>23</v>
      </c>
      <c r="E32" s="8">
        <v>1</v>
      </c>
      <c r="F32" s="6">
        <v>1</v>
      </c>
      <c r="G32" s="6">
        <v>1</v>
      </c>
      <c r="H32" s="6">
        <v>1</v>
      </c>
      <c r="I32" s="6">
        <v>1</v>
      </c>
      <c r="J32" s="33">
        <v>1</v>
      </c>
      <c r="K32" s="38">
        <f>(SplashPage!$E$3 *E32) + (SplashPage!$E$4*F32) + (SplashPage!$E$5 *G32) + (SplashPage!$E$6 *H32) + (SplashPage!$E$7 *I32) + (SplashPage!$E$8 * J32)</f>
        <v>22</v>
      </c>
      <c r="L32" s="35">
        <f t="shared" si="4"/>
        <v>1</v>
      </c>
      <c r="M32" s="16">
        <f t="shared" si="5"/>
        <v>0</v>
      </c>
      <c r="N32" s="16">
        <f t="shared" si="6"/>
        <v>0</v>
      </c>
      <c r="O32" s="17">
        <f t="shared" si="7"/>
        <v>2</v>
      </c>
    </row>
    <row r="33" spans="1:15" ht="15" x14ac:dyDescent="0.25">
      <c r="A33" t="s">
        <v>36</v>
      </c>
      <c r="B33" t="s">
        <v>38</v>
      </c>
      <c r="C33" s="76" t="s">
        <v>74</v>
      </c>
      <c r="D33" s="49" t="s">
        <v>24</v>
      </c>
      <c r="E33" s="8">
        <v>2</v>
      </c>
      <c r="F33" s="6">
        <v>2</v>
      </c>
      <c r="G33" s="6">
        <v>2</v>
      </c>
      <c r="H33" s="6">
        <v>2</v>
      </c>
      <c r="I33" s="6">
        <v>2</v>
      </c>
      <c r="J33" s="33">
        <v>2</v>
      </c>
      <c r="K33" s="38">
        <f>(SplashPage!$E$3 *E33) + (SplashPage!$E$4*F33) + (SplashPage!$E$5 *G33) + (SplashPage!$E$6 *H33) + (SplashPage!$E$7 *I33) + (SplashPage!$E$8 * J33)</f>
        <v>44</v>
      </c>
      <c r="L33" s="36">
        <f t="shared" si="4"/>
        <v>2</v>
      </c>
      <c r="M33" s="18">
        <f t="shared" si="5"/>
        <v>0</v>
      </c>
      <c r="N33" s="18">
        <f t="shared" si="6"/>
        <v>0</v>
      </c>
      <c r="O33" s="19">
        <f t="shared" si="7"/>
        <v>4</v>
      </c>
    </row>
    <row r="34" spans="1:15" ht="15" x14ac:dyDescent="0.25">
      <c r="A34" t="s">
        <v>36</v>
      </c>
      <c r="B34" t="s">
        <v>43</v>
      </c>
      <c r="C34" s="76" t="s">
        <v>75</v>
      </c>
      <c r="D34" s="49" t="s">
        <v>25</v>
      </c>
      <c r="E34" s="8">
        <v>1</v>
      </c>
      <c r="F34" s="6">
        <v>2</v>
      </c>
      <c r="G34" s="6">
        <v>3</v>
      </c>
      <c r="H34" s="6">
        <v>4</v>
      </c>
      <c r="I34" s="6">
        <v>5</v>
      </c>
      <c r="J34" s="33">
        <v>6</v>
      </c>
      <c r="K34" s="38">
        <f>(SplashPage!$E$3 *E34) + (SplashPage!$E$4*F34) + (SplashPage!$E$5 *G34) + (SplashPage!$E$6 *H34) + (SplashPage!$E$7 *I34) + (SplashPage!$E$8 * J34)</f>
        <v>49</v>
      </c>
      <c r="L34" s="35">
        <f t="shared" si="4"/>
        <v>2</v>
      </c>
      <c r="M34" s="16">
        <f t="shared" si="5"/>
        <v>0</v>
      </c>
      <c r="N34" s="16">
        <f t="shared" si="6"/>
        <v>1</v>
      </c>
      <c r="O34" s="17">
        <f t="shared" si="7"/>
        <v>4</v>
      </c>
    </row>
    <row r="35" spans="1:15" ht="15" x14ac:dyDescent="0.25">
      <c r="A35" t="s">
        <v>36</v>
      </c>
      <c r="B35" t="s">
        <v>44</v>
      </c>
      <c r="C35" s="76" t="s">
        <v>76</v>
      </c>
      <c r="D35" s="49" t="s">
        <v>26</v>
      </c>
      <c r="E35" s="8">
        <v>0</v>
      </c>
      <c r="F35" s="6">
        <v>1</v>
      </c>
      <c r="G35" s="6">
        <v>0</v>
      </c>
      <c r="H35" s="6">
        <v>1</v>
      </c>
      <c r="I35" s="6">
        <v>0</v>
      </c>
      <c r="J35" s="33">
        <v>1</v>
      </c>
      <c r="K35" s="38">
        <f>(SplashPage!$E$3 *E35) + (SplashPage!$E$4*F35) + (SplashPage!$E$5 *G35) + (SplashPage!$E$6 *H35) + (SplashPage!$E$7 *I35) + (SplashPage!$E$8 * J35)</f>
        <v>7</v>
      </c>
      <c r="L35" s="36">
        <f t="shared" si="4"/>
        <v>0</v>
      </c>
      <c r="M35" s="18">
        <f t="shared" si="5"/>
        <v>0</v>
      </c>
      <c r="N35" s="18">
        <f t="shared" si="6"/>
        <v>1</v>
      </c>
      <c r="O35" s="19">
        <f t="shared" si="7"/>
        <v>2</v>
      </c>
    </row>
    <row r="36" spans="1:15" ht="15" x14ac:dyDescent="0.25">
      <c r="A36" t="s">
        <v>36</v>
      </c>
      <c r="B36" t="s">
        <v>45</v>
      </c>
      <c r="C36" s="76" t="s">
        <v>77</v>
      </c>
      <c r="D36" s="49" t="s">
        <v>27</v>
      </c>
      <c r="E36" s="8">
        <v>5</v>
      </c>
      <c r="F36" s="6">
        <v>4</v>
      </c>
      <c r="G36" s="6">
        <v>3</v>
      </c>
      <c r="H36" s="6">
        <v>2</v>
      </c>
      <c r="I36" s="6">
        <v>1</v>
      </c>
      <c r="J36" s="33">
        <v>0</v>
      </c>
      <c r="K36" s="38">
        <f>(SplashPage!$E$3 *E36) + (SplashPage!$E$4*F36) + (SplashPage!$E$5 *G36) + (SplashPage!$E$6 *H36) + (SplashPage!$E$7 *I36) + (SplashPage!$E$8 * J36)</f>
        <v>83</v>
      </c>
      <c r="L36" s="35">
        <f t="shared" si="4"/>
        <v>4</v>
      </c>
      <c r="M36" s="16">
        <f t="shared" si="5"/>
        <v>0</v>
      </c>
      <c r="N36" s="16">
        <f t="shared" si="6"/>
        <v>0</v>
      </c>
      <c r="O36" s="17">
        <f t="shared" si="7"/>
        <v>3</v>
      </c>
    </row>
    <row r="37" spans="1:15" ht="15" x14ac:dyDescent="0.25">
      <c r="A37" t="s">
        <v>36</v>
      </c>
      <c r="B37" t="s">
        <v>46</v>
      </c>
      <c r="C37" s="75" t="s">
        <v>78</v>
      </c>
      <c r="D37" s="49" t="s">
        <v>23</v>
      </c>
      <c r="E37" s="8">
        <v>1</v>
      </c>
      <c r="F37" s="6">
        <v>1</v>
      </c>
      <c r="G37" s="6">
        <v>1</v>
      </c>
      <c r="H37" s="6">
        <v>1</v>
      </c>
      <c r="I37" s="6">
        <v>1</v>
      </c>
      <c r="J37" s="33">
        <v>1</v>
      </c>
      <c r="K37" s="38">
        <f>(SplashPage!$E$3 *E37) + (SplashPage!$E$4*F37) + (SplashPage!$E$5 *G37) + (SplashPage!$E$6 *H37) + (SplashPage!$E$7 *I37) + (SplashPage!$E$8 * J37)</f>
        <v>22</v>
      </c>
      <c r="L37" s="36">
        <f t="shared" si="4"/>
        <v>1</v>
      </c>
      <c r="M37" s="18">
        <f t="shared" si="5"/>
        <v>0</v>
      </c>
      <c r="N37" s="18">
        <f t="shared" si="6"/>
        <v>0</v>
      </c>
      <c r="O37" s="19">
        <f t="shared" si="7"/>
        <v>2</v>
      </c>
    </row>
    <row r="38" spans="1:15" ht="15" x14ac:dyDescent="0.25">
      <c r="A38" t="s">
        <v>36</v>
      </c>
      <c r="B38" t="s">
        <v>37</v>
      </c>
      <c r="C38" s="76" t="s">
        <v>79</v>
      </c>
      <c r="D38" s="49" t="s">
        <v>24</v>
      </c>
      <c r="E38" s="8">
        <v>2</v>
      </c>
      <c r="F38" s="6">
        <v>2</v>
      </c>
      <c r="G38" s="6">
        <v>2</v>
      </c>
      <c r="H38" s="6">
        <v>2</v>
      </c>
      <c r="I38" s="6">
        <v>2</v>
      </c>
      <c r="J38" s="33">
        <v>2</v>
      </c>
      <c r="K38" s="38">
        <f>(SplashPage!$E$3 *E38) + (SplashPage!$E$4*F38) + (SplashPage!$E$5 *G38) + (SplashPage!$E$6 *H38) + (SplashPage!$E$7 *I38) + (SplashPage!$E$8 * J38)</f>
        <v>44</v>
      </c>
      <c r="L38" s="35">
        <f t="shared" si="4"/>
        <v>2</v>
      </c>
      <c r="M38" s="16">
        <f t="shared" si="5"/>
        <v>0</v>
      </c>
      <c r="N38" s="16">
        <f t="shared" si="6"/>
        <v>0</v>
      </c>
      <c r="O38" s="17">
        <f t="shared" si="7"/>
        <v>4</v>
      </c>
    </row>
    <row r="39" spans="1:15" ht="15" x14ac:dyDescent="0.25">
      <c r="A39" t="s">
        <v>36</v>
      </c>
      <c r="B39" t="s">
        <v>38</v>
      </c>
      <c r="C39" s="76" t="s">
        <v>80</v>
      </c>
      <c r="D39" s="49" t="s">
        <v>25</v>
      </c>
      <c r="E39" s="8">
        <v>1</v>
      </c>
      <c r="F39" s="6">
        <v>2</v>
      </c>
      <c r="G39" s="6">
        <v>3</v>
      </c>
      <c r="H39" s="6">
        <v>4</v>
      </c>
      <c r="I39" s="6">
        <v>5</v>
      </c>
      <c r="J39" s="33">
        <v>6</v>
      </c>
      <c r="K39" s="38">
        <f>(SplashPage!$E$3 *E39) + (SplashPage!$E$4*F39) + (SplashPage!$E$5 *G39) + (SplashPage!$E$6 *H39) + (SplashPage!$E$7 *I39) + (SplashPage!$E$8 * J39)</f>
        <v>49</v>
      </c>
      <c r="L39" s="36">
        <f t="shared" si="4"/>
        <v>2</v>
      </c>
      <c r="M39" s="18">
        <f t="shared" si="5"/>
        <v>0</v>
      </c>
      <c r="N39" s="18">
        <f t="shared" si="6"/>
        <v>1</v>
      </c>
      <c r="O39" s="19">
        <f t="shared" si="7"/>
        <v>4</v>
      </c>
    </row>
    <row r="40" spans="1:15" ht="15" x14ac:dyDescent="0.25">
      <c r="A40" t="s">
        <v>36</v>
      </c>
      <c r="B40" t="s">
        <v>43</v>
      </c>
      <c r="C40" s="76" t="s">
        <v>81</v>
      </c>
      <c r="D40" s="49" t="s">
        <v>26</v>
      </c>
      <c r="E40" s="8">
        <v>0</v>
      </c>
      <c r="F40" s="6">
        <v>1</v>
      </c>
      <c r="G40" s="6">
        <v>0</v>
      </c>
      <c r="H40" s="6">
        <v>1</v>
      </c>
      <c r="I40" s="6">
        <v>0</v>
      </c>
      <c r="J40" s="33">
        <v>1</v>
      </c>
      <c r="K40" s="38">
        <f>(SplashPage!$E$3 *E40) + (SplashPage!$E$4*F40) + (SplashPage!$E$5 *G40) + (SplashPage!$E$6 *H40) + (SplashPage!$E$7 *I40) + (SplashPage!$E$8 * J40)</f>
        <v>7</v>
      </c>
      <c r="L40" s="35">
        <f t="shared" si="4"/>
        <v>0</v>
      </c>
      <c r="M40" s="16">
        <f t="shared" si="5"/>
        <v>0</v>
      </c>
      <c r="N40" s="16">
        <f t="shared" si="6"/>
        <v>1</v>
      </c>
      <c r="O40" s="17">
        <f t="shared" si="7"/>
        <v>2</v>
      </c>
    </row>
    <row r="41" spans="1:15" ht="15" x14ac:dyDescent="0.25">
      <c r="A41" t="s">
        <v>36</v>
      </c>
      <c r="B41" t="s">
        <v>44</v>
      </c>
      <c r="C41" s="76" t="s">
        <v>82</v>
      </c>
      <c r="D41" s="49" t="s">
        <v>27</v>
      </c>
      <c r="E41" s="8">
        <v>5</v>
      </c>
      <c r="F41" s="6">
        <v>4</v>
      </c>
      <c r="G41" s="6">
        <v>3</v>
      </c>
      <c r="H41" s="6">
        <v>2</v>
      </c>
      <c r="I41" s="6">
        <v>1</v>
      </c>
      <c r="J41" s="33">
        <v>0</v>
      </c>
      <c r="K41" s="38">
        <f>(SplashPage!$E$3 *E41) + (SplashPage!$E$4*F41) + (SplashPage!$E$5 *G41) + (SplashPage!$E$6 *H41) + (SplashPage!$E$7 *I41) + (SplashPage!$E$8 * J41)</f>
        <v>83</v>
      </c>
      <c r="L41" s="36">
        <f t="shared" si="4"/>
        <v>4</v>
      </c>
      <c r="M41" s="18">
        <f t="shared" si="5"/>
        <v>0</v>
      </c>
      <c r="N41" s="18">
        <f t="shared" si="6"/>
        <v>0</v>
      </c>
      <c r="O41" s="19">
        <f t="shared" si="7"/>
        <v>3</v>
      </c>
    </row>
    <row r="42" spans="1:15" ht="15" x14ac:dyDescent="0.25">
      <c r="A42" t="s">
        <v>36</v>
      </c>
      <c r="B42" t="s">
        <v>45</v>
      </c>
      <c r="C42" s="76" t="s">
        <v>83</v>
      </c>
      <c r="D42" s="49" t="s">
        <v>23</v>
      </c>
      <c r="E42" s="8">
        <v>1</v>
      </c>
      <c r="F42" s="6">
        <v>1</v>
      </c>
      <c r="G42" s="6">
        <v>1</v>
      </c>
      <c r="H42" s="6">
        <v>1</v>
      </c>
      <c r="I42" s="6">
        <v>1</v>
      </c>
      <c r="J42" s="33">
        <v>1</v>
      </c>
      <c r="K42" s="38">
        <f>(SplashPage!$E$3 *E42) + (SplashPage!$E$4*F42) + (SplashPage!$E$5 *G42) + (SplashPage!$E$6 *H42) + (SplashPage!$E$7 *I42) + (SplashPage!$E$8 * J42)</f>
        <v>22</v>
      </c>
      <c r="L42" s="35">
        <f t="shared" si="4"/>
        <v>1</v>
      </c>
      <c r="M42" s="16">
        <f t="shared" si="5"/>
        <v>0</v>
      </c>
      <c r="N42" s="16">
        <f t="shared" si="6"/>
        <v>0</v>
      </c>
      <c r="O42" s="17">
        <f t="shared" si="7"/>
        <v>2</v>
      </c>
    </row>
    <row r="43" spans="1:15" ht="15" x14ac:dyDescent="0.25">
      <c r="A43" t="s">
        <v>36</v>
      </c>
      <c r="B43" t="s">
        <v>46</v>
      </c>
      <c r="C43" s="75" t="s">
        <v>84</v>
      </c>
      <c r="D43" s="49" t="s">
        <v>24</v>
      </c>
      <c r="E43" s="8">
        <v>2</v>
      </c>
      <c r="F43" s="6">
        <v>2</v>
      </c>
      <c r="G43" s="6">
        <v>2</v>
      </c>
      <c r="H43" s="6">
        <v>2</v>
      </c>
      <c r="I43" s="6">
        <v>2</v>
      </c>
      <c r="J43" s="33">
        <v>2</v>
      </c>
      <c r="K43" s="38">
        <f>(SplashPage!$E$3 *E43) + (SplashPage!$E$4*F43) + (SplashPage!$E$5 *G43) + (SplashPage!$E$6 *H43) + (SplashPage!$E$7 *I43) + (SplashPage!$E$8 * J43)</f>
        <v>44</v>
      </c>
      <c r="L43" s="36">
        <f t="shared" si="4"/>
        <v>2</v>
      </c>
      <c r="M43" s="18">
        <f t="shared" si="5"/>
        <v>0</v>
      </c>
      <c r="N43" s="18">
        <f t="shared" si="6"/>
        <v>0</v>
      </c>
      <c r="O43" s="19">
        <f t="shared" si="7"/>
        <v>4</v>
      </c>
    </row>
    <row r="44" spans="1:15" ht="15" x14ac:dyDescent="0.25">
      <c r="A44" t="s">
        <v>36</v>
      </c>
      <c r="B44" t="s">
        <v>37</v>
      </c>
      <c r="C44" s="76" t="s">
        <v>85</v>
      </c>
      <c r="D44" s="49" t="s">
        <v>25</v>
      </c>
      <c r="E44" s="8">
        <v>1</v>
      </c>
      <c r="F44" s="6">
        <v>2</v>
      </c>
      <c r="G44" s="6">
        <v>3</v>
      </c>
      <c r="H44" s="6">
        <v>4</v>
      </c>
      <c r="I44" s="6">
        <v>5</v>
      </c>
      <c r="J44" s="33">
        <v>6</v>
      </c>
      <c r="K44" s="38">
        <f>(SplashPage!$E$3 *E44) + (SplashPage!$E$4*F44) + (SplashPage!$E$5 *G44) + (SplashPage!$E$6 *H44) + (SplashPage!$E$7 *I44) + (SplashPage!$E$8 * J44)</f>
        <v>49</v>
      </c>
      <c r="L44" s="35">
        <f t="shared" si="4"/>
        <v>2</v>
      </c>
      <c r="M44" s="16">
        <f t="shared" si="5"/>
        <v>0</v>
      </c>
      <c r="N44" s="16">
        <f t="shared" si="6"/>
        <v>1</v>
      </c>
      <c r="O44" s="17">
        <f t="shared" si="7"/>
        <v>4</v>
      </c>
    </row>
    <row r="45" spans="1:15" ht="15" x14ac:dyDescent="0.25">
      <c r="A45" t="s">
        <v>36</v>
      </c>
      <c r="B45" t="s">
        <v>38</v>
      </c>
      <c r="C45" s="76" t="s">
        <v>86</v>
      </c>
      <c r="D45" s="49" t="s">
        <v>26</v>
      </c>
      <c r="E45" s="8">
        <v>0</v>
      </c>
      <c r="F45" s="6">
        <v>1</v>
      </c>
      <c r="G45" s="6">
        <v>0</v>
      </c>
      <c r="H45" s="6">
        <v>1</v>
      </c>
      <c r="I45" s="6">
        <v>0</v>
      </c>
      <c r="J45" s="33">
        <v>1</v>
      </c>
      <c r="K45" s="38">
        <f>(SplashPage!$E$3 *E45) + (SplashPage!$E$4*F45) + (SplashPage!$E$5 *G45) + (SplashPage!$E$6 *H45) + (SplashPage!$E$7 *I45) + (SplashPage!$E$8 * J45)</f>
        <v>7</v>
      </c>
      <c r="L45" s="36">
        <f t="shared" si="4"/>
        <v>0</v>
      </c>
      <c r="M45" s="18">
        <f t="shared" si="5"/>
        <v>0</v>
      </c>
      <c r="N45" s="18">
        <f t="shared" si="6"/>
        <v>1</v>
      </c>
      <c r="O45" s="19">
        <f t="shared" si="7"/>
        <v>2</v>
      </c>
    </row>
    <row r="46" spans="1:15" ht="15" x14ac:dyDescent="0.25">
      <c r="A46" t="s">
        <v>36</v>
      </c>
      <c r="B46" t="s">
        <v>43</v>
      </c>
      <c r="C46" s="76" t="s">
        <v>87</v>
      </c>
      <c r="D46" s="49" t="s">
        <v>27</v>
      </c>
      <c r="E46" s="8">
        <v>5</v>
      </c>
      <c r="F46" s="6">
        <v>4</v>
      </c>
      <c r="G46" s="6">
        <v>3</v>
      </c>
      <c r="H46" s="6">
        <v>2</v>
      </c>
      <c r="I46" s="6">
        <v>1</v>
      </c>
      <c r="J46" s="33">
        <v>0</v>
      </c>
      <c r="K46" s="38">
        <f>(SplashPage!$E$3 *E46) + (SplashPage!$E$4*F46) + (SplashPage!$E$5 *G46) + (SplashPage!$E$6 *H46) + (SplashPage!$E$7 *I46) + (SplashPage!$E$8 * J46)</f>
        <v>83</v>
      </c>
      <c r="L46" s="35">
        <f t="shared" si="4"/>
        <v>4</v>
      </c>
      <c r="M46" s="16">
        <f t="shared" si="5"/>
        <v>0</v>
      </c>
      <c r="N46" s="16">
        <f t="shared" si="6"/>
        <v>0</v>
      </c>
      <c r="O46" s="17">
        <f t="shared" si="7"/>
        <v>3</v>
      </c>
    </row>
    <row r="47" spans="1:15" ht="15" x14ac:dyDescent="0.25">
      <c r="A47" t="s">
        <v>36</v>
      </c>
      <c r="B47" t="s">
        <v>44</v>
      </c>
      <c r="C47" s="76" t="s">
        <v>88</v>
      </c>
      <c r="D47" s="49" t="s">
        <v>23</v>
      </c>
      <c r="E47" s="8">
        <v>1</v>
      </c>
      <c r="F47" s="6">
        <v>1</v>
      </c>
      <c r="G47" s="6">
        <v>1</v>
      </c>
      <c r="H47" s="6">
        <v>1</v>
      </c>
      <c r="I47" s="6">
        <v>1</v>
      </c>
      <c r="J47" s="33">
        <v>1</v>
      </c>
      <c r="K47" s="38">
        <f>(SplashPage!$E$3 *E47) + (SplashPage!$E$4*F47) + (SplashPage!$E$5 *G47) + (SplashPage!$E$6 *H47) + (SplashPage!$E$7 *I47) + (SplashPage!$E$8 * J47)</f>
        <v>22</v>
      </c>
      <c r="L47" s="36">
        <f t="shared" si="4"/>
        <v>1</v>
      </c>
      <c r="M47" s="18">
        <f t="shared" si="5"/>
        <v>0</v>
      </c>
      <c r="N47" s="18">
        <f t="shared" si="6"/>
        <v>0</v>
      </c>
      <c r="O47" s="19">
        <f t="shared" si="7"/>
        <v>2</v>
      </c>
    </row>
    <row r="48" spans="1:15" ht="15" x14ac:dyDescent="0.25">
      <c r="A48" t="s">
        <v>36</v>
      </c>
      <c r="B48" t="s">
        <v>45</v>
      </c>
      <c r="C48" s="75" t="s">
        <v>89</v>
      </c>
      <c r="D48" s="49" t="s">
        <v>24</v>
      </c>
      <c r="E48" s="8">
        <v>2</v>
      </c>
      <c r="F48" s="6">
        <v>2</v>
      </c>
      <c r="G48" s="6">
        <v>2</v>
      </c>
      <c r="H48" s="6">
        <v>2</v>
      </c>
      <c r="I48" s="6">
        <v>2</v>
      </c>
      <c r="J48" s="33">
        <v>2</v>
      </c>
      <c r="K48" s="38">
        <f>(SplashPage!$E$3 *E48) + (SplashPage!$E$4*F48) + (SplashPage!$E$5 *G48) + (SplashPage!$E$6 *H48) + (SplashPage!$E$7 *I48) + (SplashPage!$E$8 * J48)</f>
        <v>44</v>
      </c>
      <c r="L48" s="35">
        <f t="shared" si="4"/>
        <v>2</v>
      </c>
      <c r="M48" s="16">
        <f t="shared" si="5"/>
        <v>0</v>
      </c>
      <c r="N48" s="16">
        <f t="shared" si="6"/>
        <v>0</v>
      </c>
      <c r="O48" s="17">
        <f t="shared" si="7"/>
        <v>4</v>
      </c>
    </row>
    <row r="49" spans="1:15" ht="15" x14ac:dyDescent="0.25">
      <c r="A49" t="s">
        <v>36</v>
      </c>
      <c r="B49" t="s">
        <v>46</v>
      </c>
      <c r="C49" s="76" t="s">
        <v>90</v>
      </c>
      <c r="D49" s="49" t="s">
        <v>25</v>
      </c>
      <c r="E49" s="8">
        <v>1</v>
      </c>
      <c r="F49" s="6">
        <v>2</v>
      </c>
      <c r="G49" s="6">
        <v>3</v>
      </c>
      <c r="H49" s="6">
        <v>4</v>
      </c>
      <c r="I49" s="6">
        <v>5</v>
      </c>
      <c r="J49" s="33">
        <v>6</v>
      </c>
      <c r="K49" s="38">
        <f>(SplashPage!$E$3 *E49) + (SplashPage!$E$4*F49) + (SplashPage!$E$5 *G49) + (SplashPage!$E$6 *H49) + (SplashPage!$E$7 *I49) + (SplashPage!$E$8 * J49)</f>
        <v>49</v>
      </c>
      <c r="L49" s="36">
        <f t="shared" si="4"/>
        <v>2</v>
      </c>
      <c r="M49" s="18">
        <f t="shared" si="5"/>
        <v>0</v>
      </c>
      <c r="N49" s="18">
        <f t="shared" si="6"/>
        <v>1</v>
      </c>
      <c r="O49" s="19">
        <f t="shared" si="7"/>
        <v>4</v>
      </c>
    </row>
    <row r="50" spans="1:15" ht="15" x14ac:dyDescent="0.25">
      <c r="A50" t="s">
        <v>36</v>
      </c>
      <c r="B50" t="s">
        <v>37</v>
      </c>
      <c r="C50" s="76" t="s">
        <v>91</v>
      </c>
      <c r="D50" s="49" t="s">
        <v>26</v>
      </c>
      <c r="E50" s="8">
        <v>0</v>
      </c>
      <c r="F50" s="6">
        <v>1</v>
      </c>
      <c r="G50" s="6">
        <v>0</v>
      </c>
      <c r="H50" s="6">
        <v>1</v>
      </c>
      <c r="I50" s="6">
        <v>0</v>
      </c>
      <c r="J50" s="33">
        <v>1</v>
      </c>
      <c r="K50" s="38">
        <f>(SplashPage!$E$3 *E50) + (SplashPage!$E$4*F50) + (SplashPage!$E$5 *G50) + (SplashPage!$E$6 *H50) + (SplashPage!$E$7 *I50) + (SplashPage!$E$8 * J50)</f>
        <v>7</v>
      </c>
      <c r="L50" s="35">
        <f t="shared" si="4"/>
        <v>0</v>
      </c>
      <c r="M50" s="16">
        <f t="shared" si="5"/>
        <v>0</v>
      </c>
      <c r="N50" s="16">
        <f t="shared" si="6"/>
        <v>1</v>
      </c>
      <c r="O50" s="17">
        <f t="shared" si="7"/>
        <v>2</v>
      </c>
    </row>
    <row r="51" spans="1:15" ht="15" x14ac:dyDescent="0.25">
      <c r="A51" t="s">
        <v>36</v>
      </c>
      <c r="B51" t="s">
        <v>38</v>
      </c>
      <c r="C51" s="76" t="s">
        <v>92</v>
      </c>
      <c r="D51" s="49" t="s">
        <v>27</v>
      </c>
      <c r="E51" s="8">
        <v>5</v>
      </c>
      <c r="F51" s="6">
        <v>4</v>
      </c>
      <c r="G51" s="6">
        <v>3</v>
      </c>
      <c r="H51" s="6">
        <v>2</v>
      </c>
      <c r="I51" s="6">
        <v>1</v>
      </c>
      <c r="J51" s="33">
        <v>0</v>
      </c>
      <c r="K51" s="38">
        <f>(SplashPage!$E$3 *E51) + (SplashPage!$E$4*F51) + (SplashPage!$E$5 *G51) + (SplashPage!$E$6 *H51) + (SplashPage!$E$7 *I51) + (SplashPage!$E$8 * J51)</f>
        <v>83</v>
      </c>
      <c r="L51" s="36">
        <f t="shared" si="4"/>
        <v>4</v>
      </c>
      <c r="M51" s="18">
        <f t="shared" si="5"/>
        <v>0</v>
      </c>
      <c r="N51" s="18">
        <f t="shared" si="6"/>
        <v>0</v>
      </c>
      <c r="O51" s="19">
        <f t="shared" si="7"/>
        <v>3</v>
      </c>
    </row>
    <row r="52" spans="1:15" ht="15" x14ac:dyDescent="0.25">
      <c r="A52" t="s">
        <v>36</v>
      </c>
      <c r="B52" t="s">
        <v>43</v>
      </c>
      <c r="C52" s="76" t="s">
        <v>93</v>
      </c>
      <c r="D52" s="49" t="s">
        <v>23</v>
      </c>
      <c r="E52" s="8">
        <v>1</v>
      </c>
      <c r="F52" s="6">
        <v>1</v>
      </c>
      <c r="G52" s="6">
        <v>1</v>
      </c>
      <c r="H52" s="6">
        <v>1</v>
      </c>
      <c r="I52" s="6">
        <v>1</v>
      </c>
      <c r="J52" s="33">
        <v>1</v>
      </c>
      <c r="K52" s="38">
        <f>(SplashPage!$E$3 *E52) + (SplashPage!$E$4*F52) + (SplashPage!$E$5 *G52) + (SplashPage!$E$6 *H52) + (SplashPage!$E$7 *I52) + (SplashPage!$E$8 * J52)</f>
        <v>22</v>
      </c>
      <c r="L52" s="35">
        <f t="shared" si="4"/>
        <v>1</v>
      </c>
      <c r="M52" s="16">
        <f t="shared" si="5"/>
        <v>0</v>
      </c>
      <c r="N52" s="16">
        <f t="shared" si="6"/>
        <v>0</v>
      </c>
      <c r="O52" s="17">
        <f t="shared" si="7"/>
        <v>2</v>
      </c>
    </row>
    <row r="53" spans="1:15" ht="15" x14ac:dyDescent="0.25">
      <c r="A53" t="s">
        <v>36</v>
      </c>
      <c r="B53" t="s">
        <v>44</v>
      </c>
      <c r="C53" s="76" t="s">
        <v>94</v>
      </c>
      <c r="D53" s="49" t="s">
        <v>24</v>
      </c>
      <c r="E53" s="8">
        <v>2</v>
      </c>
      <c r="F53" s="6">
        <v>2</v>
      </c>
      <c r="G53" s="6">
        <v>2</v>
      </c>
      <c r="H53" s="6">
        <v>2</v>
      </c>
      <c r="I53" s="6">
        <v>2</v>
      </c>
      <c r="J53" s="33">
        <v>2</v>
      </c>
      <c r="K53" s="38">
        <f>(SplashPage!$E$3 *E53) + (SplashPage!$E$4*F53) + (SplashPage!$E$5 *G53) + (SplashPage!$E$6 *H53) + (SplashPage!$E$7 *I53) + (SplashPage!$E$8 * J53)</f>
        <v>44</v>
      </c>
      <c r="L53" s="36">
        <f t="shared" si="4"/>
        <v>2</v>
      </c>
      <c r="M53" s="18">
        <f t="shared" si="5"/>
        <v>0</v>
      </c>
      <c r="N53" s="18">
        <f t="shared" si="6"/>
        <v>0</v>
      </c>
      <c r="O53" s="19">
        <f t="shared" si="7"/>
        <v>4</v>
      </c>
    </row>
    <row r="54" spans="1:15" ht="15" x14ac:dyDescent="0.25">
      <c r="A54" t="s">
        <v>36</v>
      </c>
      <c r="B54" t="s">
        <v>45</v>
      </c>
      <c r="C54" s="75" t="s">
        <v>95</v>
      </c>
      <c r="D54" s="49" t="s">
        <v>25</v>
      </c>
      <c r="E54" s="8">
        <v>1</v>
      </c>
      <c r="F54" s="6">
        <v>2</v>
      </c>
      <c r="G54" s="6">
        <v>3</v>
      </c>
      <c r="H54" s="6">
        <v>4</v>
      </c>
      <c r="I54" s="6">
        <v>5</v>
      </c>
      <c r="J54" s="33">
        <v>6</v>
      </c>
      <c r="K54" s="38">
        <f>(SplashPage!$E$3 *E54) + (SplashPage!$E$4*F54) + (SplashPage!$E$5 *G54) + (SplashPage!$E$6 *H54) + (SplashPage!$E$7 *I54) + (SplashPage!$E$8 * J54)</f>
        <v>49</v>
      </c>
      <c r="L54" s="35">
        <f t="shared" si="4"/>
        <v>2</v>
      </c>
      <c r="M54" s="16">
        <f t="shared" si="5"/>
        <v>0</v>
      </c>
      <c r="N54" s="16">
        <f t="shared" si="6"/>
        <v>1</v>
      </c>
      <c r="O54" s="17">
        <f t="shared" si="7"/>
        <v>4</v>
      </c>
    </row>
    <row r="55" spans="1:15" ht="15.75" thickBot="1" x14ac:dyDescent="0.3">
      <c r="A55" t="s">
        <v>36</v>
      </c>
      <c r="B55" t="s">
        <v>46</v>
      </c>
      <c r="C55" s="76" t="s">
        <v>96</v>
      </c>
      <c r="D55" s="49" t="s">
        <v>26</v>
      </c>
      <c r="E55" s="8">
        <v>0</v>
      </c>
      <c r="F55" s="6">
        <v>1</v>
      </c>
      <c r="G55" s="6">
        <v>0</v>
      </c>
      <c r="H55" s="6">
        <v>1</v>
      </c>
      <c r="I55" s="6">
        <v>0</v>
      </c>
      <c r="J55" s="33">
        <v>1</v>
      </c>
      <c r="K55" s="38">
        <f>(SplashPage!$E$3 *E55) + (SplashPage!$E$4*F55) + (SplashPage!$E$5 *G55) + (SplashPage!$E$6 *H55) + (SplashPage!$E$7 *I55) + (SplashPage!$E$8 * J55)</f>
        <v>7</v>
      </c>
      <c r="L55" s="36">
        <f t="shared" si="4"/>
        <v>0</v>
      </c>
      <c r="M55" s="18">
        <f t="shared" si="5"/>
        <v>0</v>
      </c>
      <c r="N55" s="18">
        <f t="shared" si="6"/>
        <v>1</v>
      </c>
      <c r="O55" s="19">
        <f t="shared" si="7"/>
        <v>2</v>
      </c>
    </row>
    <row r="56" spans="1:15" ht="15" customHeight="1" thickBot="1" x14ac:dyDescent="0.25">
      <c r="A56" s="73" t="s">
        <v>20</v>
      </c>
      <c r="B56" s="74"/>
      <c r="C56" s="74"/>
      <c r="D56" s="54"/>
      <c r="E56" s="20"/>
      <c r="F56" s="21"/>
      <c r="G56" s="21"/>
      <c r="H56" s="21"/>
      <c r="I56" s="31"/>
      <c r="J56" s="31"/>
      <c r="K56" s="31">
        <f>SUM(K2:K55)</f>
        <v>2172</v>
      </c>
      <c r="L56" s="2">
        <f ca="1">SUM(INDIRECT(ADDRESS(1,COLUMN())&amp;":"&amp;ADDRESS(ROW()-1,COLUMN())))</f>
        <v>95</v>
      </c>
      <c r="M56" s="2">
        <f ca="1">SUM(INDIRECT(ADDRESS(1,COLUMN())&amp;":"&amp;ADDRESS(ROW()-1,COLUMN())))</f>
        <v>0</v>
      </c>
      <c r="N56" s="2">
        <f ca="1">SUM(INDIRECT(ADDRESS(1,COLUMN())&amp;":"&amp;ADDRESS(ROW()-1,COLUMN())))</f>
        <v>22</v>
      </c>
      <c r="O56" s="2">
        <f ca="1">SUM(INDIRECT(ADDRESS(1,COLUMN())&amp;":"&amp;ADDRESS(ROW()-1,COLUMN())))</f>
        <v>162</v>
      </c>
    </row>
  </sheetData>
  <mergeCells count="1">
    <mergeCell ref="A56:C56"/>
  </mergeCells>
  <phoneticPr fontId="1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ThisWorkbook.refreshCategories">
                <anchor moveWithCells="1" sizeWithCells="1">
                  <from>
                    <xdr:col>15</xdr:col>
                    <xdr:colOff>104775</xdr:colOff>
                    <xdr:row>0</xdr:row>
                    <xdr:rowOff>38100</xdr:rowOff>
                  </from>
                  <to>
                    <xdr:col>18</xdr:col>
                    <xdr:colOff>466725</xdr:colOff>
                    <xdr:row>0</xdr:row>
                    <xdr:rowOff>333375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A80D6-A523-4A7E-902F-7D1622946099}">
  <sheetPr codeName="Sheet3"/>
  <dimension ref="A1:O56"/>
  <sheetViews>
    <sheetView zoomScale="85" zoomScaleNormal="85" workbookViewId="0">
      <pane ySplit="1" topLeftCell="A2" activePane="bottomLeft" state="frozen"/>
      <selection pane="bottomLeft" activeCell="G28" sqref="G28"/>
    </sheetView>
  </sheetViews>
  <sheetFormatPr defaultColWidth="8.7109375" defaultRowHeight="14.25" x14ac:dyDescent="0.2"/>
  <cols>
    <col min="1" max="1" width="16.42578125" style="1" bestFit="1" customWidth="1"/>
    <col min="2" max="2" width="8.7109375" style="1"/>
    <col min="3" max="3" width="22" style="1" bestFit="1" customWidth="1"/>
    <col min="4" max="4" width="9" style="50" bestFit="1" customWidth="1"/>
    <col min="5" max="10" width="8.7109375" style="1"/>
    <col min="11" max="11" width="11.42578125" style="1" bestFit="1" customWidth="1"/>
    <col min="12" max="16384" width="8.7109375" style="1"/>
  </cols>
  <sheetData>
    <row r="1" spans="1:15" ht="29.25" customHeight="1" thickBot="1" x14ac:dyDescent="0.25">
      <c r="A1" s="4" t="s">
        <v>0</v>
      </c>
      <c r="B1" s="4" t="s">
        <v>0</v>
      </c>
      <c r="C1" s="4" t="s">
        <v>1</v>
      </c>
      <c r="D1" s="48" t="s">
        <v>28</v>
      </c>
      <c r="E1" s="12" t="s">
        <v>2</v>
      </c>
      <c r="F1" s="13" t="s">
        <v>3</v>
      </c>
      <c r="G1" s="13" t="s">
        <v>4</v>
      </c>
      <c r="H1" s="13" t="s">
        <v>5</v>
      </c>
      <c r="I1" s="13" t="s">
        <v>6</v>
      </c>
      <c r="J1" s="32" t="s">
        <v>16</v>
      </c>
      <c r="K1" s="37" t="s">
        <v>15</v>
      </c>
      <c r="L1" s="5" t="s">
        <v>7</v>
      </c>
      <c r="M1" s="5" t="s">
        <v>8</v>
      </c>
      <c r="N1" s="5" t="s">
        <v>9</v>
      </c>
      <c r="O1" s="5" t="s">
        <v>10</v>
      </c>
    </row>
    <row r="2" spans="1:15" ht="15" x14ac:dyDescent="0.25">
      <c r="A2" t="s">
        <v>17</v>
      </c>
      <c r="B2" t="s">
        <v>18</v>
      </c>
      <c r="C2" s="39" t="s">
        <v>19</v>
      </c>
      <c r="D2" s="49"/>
      <c r="E2" s="8"/>
      <c r="F2" s="6"/>
      <c r="G2" s="6"/>
      <c r="H2" s="40"/>
      <c r="I2" s="40"/>
      <c r="J2" s="33"/>
      <c r="K2" s="38">
        <f>(SplashPage!$E$3 *E2) + (SplashPage!$E$4*F2) + (SplashPage!$E$5 *G2) + (SplashPage!$E$6 *H2) + (SplashPage!$E$7 *I2) + (SplashPage!$E$8 * J2)</f>
        <v>0</v>
      </c>
      <c r="L2" s="34">
        <f xml:space="preserve"> FLOOR(K2/20, 1)</f>
        <v>0</v>
      </c>
      <c r="M2" s="14">
        <f xml:space="preserve"> FLOOR((K2 - L2*20)/10, 1)</f>
        <v>0</v>
      </c>
      <c r="N2" s="14">
        <f xml:space="preserve"> FLOOR((K2 - L2*20 - M2*10)/5, 1)</f>
        <v>0</v>
      </c>
      <c r="O2" s="15">
        <f xml:space="preserve"> FLOOR((K2 - L2*20 - M2*10 - N2 *5)/1, 1)</f>
        <v>0</v>
      </c>
    </row>
    <row r="3" spans="1:15" ht="15" x14ac:dyDescent="0.25">
      <c r="A3"/>
      <c r="B3"/>
      <c r="C3"/>
      <c r="D3" s="49"/>
      <c r="E3" s="8"/>
      <c r="F3" s="6"/>
      <c r="G3" s="6"/>
      <c r="H3" s="6"/>
      <c r="I3" s="6"/>
      <c r="J3" s="33"/>
      <c r="K3" s="38">
        <f>(SplashPage!$E$3 *E3) + (SplashPage!$E$4*F3) + (SplashPage!$E$5 *G3) + (SplashPage!$E$6 *H3) + (SplashPage!$E$7 *I3) + (SplashPage!$E$8 * J3)</f>
        <v>0</v>
      </c>
      <c r="L3" s="35">
        <f t="shared" ref="L3:L55" si="0" xml:space="preserve"> FLOOR(K3/20, 1)</f>
        <v>0</v>
      </c>
      <c r="M3" s="16">
        <f t="shared" ref="M3:M55" si="1" xml:space="preserve"> FLOOR((K3 - L3*20)/10, 1)</f>
        <v>0</v>
      </c>
      <c r="N3" s="16">
        <f t="shared" ref="N3:N55" si="2" xml:space="preserve"> FLOOR((K3 - L3*20 - M3*10)/5, 1)</f>
        <v>0</v>
      </c>
      <c r="O3" s="17">
        <f t="shared" ref="O3:O55" si="3" xml:space="preserve"> FLOOR((K3 - L3*20 - M3*10 - N3 *5)/1, 1)</f>
        <v>0</v>
      </c>
    </row>
    <row r="4" spans="1:15" ht="15" x14ac:dyDescent="0.25">
      <c r="A4"/>
      <c r="B4"/>
      <c r="C4"/>
      <c r="D4" s="49"/>
      <c r="E4" s="8"/>
      <c r="F4" s="6"/>
      <c r="G4" s="6"/>
      <c r="H4" s="6"/>
      <c r="I4" s="6"/>
      <c r="J4" s="33"/>
      <c r="K4" s="38">
        <f>(SplashPage!$E$3 *E4) + (SplashPage!$E$4*F4) + (SplashPage!$E$5 *G4) + (SplashPage!$E$6 *H4) + (SplashPage!$E$7 *I4) + (SplashPage!$E$8 * J4)</f>
        <v>0</v>
      </c>
      <c r="L4" s="36">
        <f t="shared" si="0"/>
        <v>0</v>
      </c>
      <c r="M4" s="18">
        <f t="shared" si="1"/>
        <v>0</v>
      </c>
      <c r="N4" s="18">
        <f t="shared" si="2"/>
        <v>0</v>
      </c>
      <c r="O4" s="19">
        <f t="shared" si="3"/>
        <v>0</v>
      </c>
    </row>
    <row r="5" spans="1:15" ht="15" x14ac:dyDescent="0.25">
      <c r="A5"/>
      <c r="B5"/>
      <c r="C5"/>
      <c r="D5" s="49"/>
      <c r="E5" s="8"/>
      <c r="F5" s="6"/>
      <c r="G5" s="6"/>
      <c r="H5" s="6"/>
      <c r="I5" s="6"/>
      <c r="J5" s="33"/>
      <c r="K5" s="38">
        <f>(SplashPage!$E$3 *E5) + (SplashPage!$E$4*F5) + (SplashPage!$E$5 *G5) + (SplashPage!$E$6 *H5) + (SplashPage!$E$7 *I5) + (SplashPage!$E$8 * J5)</f>
        <v>0</v>
      </c>
      <c r="L5" s="35">
        <f t="shared" si="0"/>
        <v>0</v>
      </c>
      <c r="M5" s="16">
        <f t="shared" si="1"/>
        <v>0</v>
      </c>
      <c r="N5" s="16">
        <f t="shared" si="2"/>
        <v>0</v>
      </c>
      <c r="O5" s="17">
        <f t="shared" si="3"/>
        <v>0</v>
      </c>
    </row>
    <row r="6" spans="1:15" ht="15" x14ac:dyDescent="0.25">
      <c r="A6"/>
      <c r="B6"/>
      <c r="C6"/>
      <c r="D6" s="49"/>
      <c r="E6" s="8"/>
      <c r="F6" s="6"/>
      <c r="G6" s="6"/>
      <c r="H6" s="6"/>
      <c r="I6" s="6"/>
      <c r="J6" s="33"/>
      <c r="K6" s="38">
        <f>(SplashPage!$E$3 *E6) + (SplashPage!$E$4*F6) + (SplashPage!$E$5 *G6) + (SplashPage!$E$6 *H6) + (SplashPage!$E$7 *I6) + (SplashPage!$E$8 * J6)</f>
        <v>0</v>
      </c>
      <c r="L6" s="36">
        <f t="shared" si="0"/>
        <v>0</v>
      </c>
      <c r="M6" s="18">
        <f t="shared" si="1"/>
        <v>0</v>
      </c>
      <c r="N6" s="18">
        <f t="shared" si="2"/>
        <v>0</v>
      </c>
      <c r="O6" s="19">
        <f t="shared" si="3"/>
        <v>0</v>
      </c>
    </row>
    <row r="7" spans="1:15" ht="15" x14ac:dyDescent="0.25">
      <c r="A7"/>
      <c r="B7"/>
      <c r="C7"/>
      <c r="D7" s="49"/>
      <c r="E7" s="8"/>
      <c r="F7" s="6"/>
      <c r="G7" s="6"/>
      <c r="H7" s="6"/>
      <c r="I7" s="6"/>
      <c r="J7" s="33"/>
      <c r="K7" s="38">
        <f>(SplashPage!$E$3 *E7) + (SplashPage!$E$4*F7) + (SplashPage!$E$5 *G7) + (SplashPage!$E$6 *H7) + (SplashPage!$E$7 *I7) + (SplashPage!$E$8 * J7)</f>
        <v>0</v>
      </c>
      <c r="L7" s="35">
        <f t="shared" si="0"/>
        <v>0</v>
      </c>
      <c r="M7" s="16">
        <f t="shared" si="1"/>
        <v>0</v>
      </c>
      <c r="N7" s="16">
        <f t="shared" si="2"/>
        <v>0</v>
      </c>
      <c r="O7" s="17">
        <f t="shared" si="3"/>
        <v>0</v>
      </c>
    </row>
    <row r="8" spans="1:15" ht="15" x14ac:dyDescent="0.25">
      <c r="A8"/>
      <c r="B8"/>
      <c r="C8"/>
      <c r="D8" s="49"/>
      <c r="E8" s="8"/>
      <c r="F8" s="6"/>
      <c r="G8" s="6"/>
      <c r="H8" s="6"/>
      <c r="I8" s="6"/>
      <c r="J8" s="33"/>
      <c r="K8" s="38">
        <f>(SplashPage!$E$3 *E8) + (SplashPage!$E$4*F8) + (SplashPage!$E$5 *G8) + (SplashPage!$E$6 *H8) + (SplashPage!$E$7 *I8) + (SplashPage!$E$8 * J8)</f>
        <v>0</v>
      </c>
      <c r="L8" s="36">
        <f t="shared" si="0"/>
        <v>0</v>
      </c>
      <c r="M8" s="18">
        <f t="shared" si="1"/>
        <v>0</v>
      </c>
      <c r="N8" s="18">
        <f t="shared" si="2"/>
        <v>0</v>
      </c>
      <c r="O8" s="19">
        <f t="shared" si="3"/>
        <v>0</v>
      </c>
    </row>
    <row r="9" spans="1:15" ht="15" x14ac:dyDescent="0.25">
      <c r="A9"/>
      <c r="B9"/>
      <c r="C9"/>
      <c r="D9" s="49"/>
      <c r="E9" s="8"/>
      <c r="F9" s="6"/>
      <c r="G9" s="6"/>
      <c r="H9" s="6"/>
      <c r="I9" s="6"/>
      <c r="J9" s="33"/>
      <c r="K9" s="38">
        <f>(SplashPage!$E$3 *E9) + (SplashPage!$E$4*F9) + (SplashPage!$E$5 *G9) + (SplashPage!$E$6 *H9) + (SplashPage!$E$7 *I9) + (SplashPage!$E$8 * J9)</f>
        <v>0</v>
      </c>
      <c r="L9" s="35">
        <f t="shared" si="0"/>
        <v>0</v>
      </c>
      <c r="M9" s="16">
        <f t="shared" si="1"/>
        <v>0</v>
      </c>
      <c r="N9" s="16">
        <f t="shared" si="2"/>
        <v>0</v>
      </c>
      <c r="O9" s="17">
        <f t="shared" si="3"/>
        <v>0</v>
      </c>
    </row>
    <row r="10" spans="1:15" ht="15" x14ac:dyDescent="0.25">
      <c r="A10"/>
      <c r="B10"/>
      <c r="C10"/>
      <c r="D10" s="49"/>
      <c r="E10" s="8"/>
      <c r="F10" s="6"/>
      <c r="G10" s="6"/>
      <c r="H10" s="6"/>
      <c r="I10" s="6"/>
      <c r="J10" s="33"/>
      <c r="K10" s="38">
        <f>(SplashPage!$E$3 *E10) + (SplashPage!$E$4*F10) + (SplashPage!$E$5 *G10) + (SplashPage!$E$6 *H10) + (SplashPage!$E$7 *I10) + (SplashPage!$E$8 * J10)</f>
        <v>0</v>
      </c>
      <c r="L10" s="36">
        <f t="shared" si="0"/>
        <v>0</v>
      </c>
      <c r="M10" s="18">
        <f t="shared" si="1"/>
        <v>0</v>
      </c>
      <c r="N10" s="18">
        <f t="shared" si="2"/>
        <v>0</v>
      </c>
      <c r="O10" s="19">
        <f t="shared" si="3"/>
        <v>0</v>
      </c>
    </row>
    <row r="11" spans="1:15" ht="15" x14ac:dyDescent="0.25">
      <c r="A11"/>
      <c r="B11"/>
      <c r="C11"/>
      <c r="D11" s="49"/>
      <c r="E11" s="8"/>
      <c r="F11" s="6"/>
      <c r="G11" s="6"/>
      <c r="H11" s="6"/>
      <c r="I11" s="6"/>
      <c r="J11" s="33"/>
      <c r="K11" s="38">
        <f>(SplashPage!$E$3 *E11) + (SplashPage!$E$4*F11) + (SplashPage!$E$5 *G11) + (SplashPage!$E$6 *H11) + (SplashPage!$E$7 *I11) + (SplashPage!$E$8 * J11)</f>
        <v>0</v>
      </c>
      <c r="L11" s="35">
        <f t="shared" si="0"/>
        <v>0</v>
      </c>
      <c r="M11" s="16">
        <f t="shared" si="1"/>
        <v>0</v>
      </c>
      <c r="N11" s="16">
        <f t="shared" si="2"/>
        <v>0</v>
      </c>
      <c r="O11" s="17">
        <f t="shared" si="3"/>
        <v>0</v>
      </c>
    </row>
    <row r="12" spans="1:15" ht="15" x14ac:dyDescent="0.25">
      <c r="A12"/>
      <c r="B12"/>
      <c r="C12"/>
      <c r="D12" s="49"/>
      <c r="E12" s="8"/>
      <c r="F12" s="6"/>
      <c r="G12" s="6"/>
      <c r="H12" s="6"/>
      <c r="I12" s="6"/>
      <c r="J12" s="33"/>
      <c r="K12" s="38">
        <f>(SplashPage!$E$3 *E12) + (SplashPage!$E$4*F12) + (SplashPage!$E$5 *G12) + (SplashPage!$E$6 *H12) + (SplashPage!$E$7 *I12) + (SplashPage!$E$8 * J12)</f>
        <v>0</v>
      </c>
      <c r="L12" s="36">
        <f t="shared" si="0"/>
        <v>0</v>
      </c>
      <c r="M12" s="18">
        <f t="shared" si="1"/>
        <v>0</v>
      </c>
      <c r="N12" s="18">
        <f t="shared" si="2"/>
        <v>0</v>
      </c>
      <c r="O12" s="19">
        <f t="shared" si="3"/>
        <v>0</v>
      </c>
    </row>
    <row r="13" spans="1:15" ht="15" x14ac:dyDescent="0.25">
      <c r="A13"/>
      <c r="B13"/>
      <c r="C13"/>
      <c r="D13" s="49"/>
      <c r="E13" s="8"/>
      <c r="F13" s="6"/>
      <c r="G13" s="6"/>
      <c r="H13" s="6"/>
      <c r="I13" s="6"/>
      <c r="J13" s="33"/>
      <c r="K13" s="38">
        <f>(SplashPage!$E$3 *E13) + (SplashPage!$E$4*F13) + (SplashPage!$E$5 *G13) + (SplashPage!$E$6 *H13) + (SplashPage!$E$7 *I13) + (SplashPage!$E$8 * J13)</f>
        <v>0</v>
      </c>
      <c r="L13" s="35">
        <f t="shared" si="0"/>
        <v>0</v>
      </c>
      <c r="M13" s="16">
        <f t="shared" si="1"/>
        <v>0</v>
      </c>
      <c r="N13" s="16">
        <f t="shared" si="2"/>
        <v>0</v>
      </c>
      <c r="O13" s="17">
        <f t="shared" si="3"/>
        <v>0</v>
      </c>
    </row>
    <row r="14" spans="1:15" ht="15" x14ac:dyDescent="0.25">
      <c r="A14"/>
      <c r="B14"/>
      <c r="C14"/>
      <c r="D14" s="49"/>
      <c r="E14" s="8"/>
      <c r="F14" s="6"/>
      <c r="G14" s="6"/>
      <c r="H14" s="6"/>
      <c r="I14" s="6"/>
      <c r="J14" s="33"/>
      <c r="K14" s="38">
        <f>(SplashPage!$E$3 *E14) + (SplashPage!$E$4*F14) + (SplashPage!$E$5 *G14) + (SplashPage!$E$6 *H14) + (SplashPage!$E$7 *I14) + (SplashPage!$E$8 * J14)</f>
        <v>0</v>
      </c>
      <c r="L14" s="36">
        <f t="shared" si="0"/>
        <v>0</v>
      </c>
      <c r="M14" s="18">
        <f t="shared" si="1"/>
        <v>0</v>
      </c>
      <c r="N14" s="18">
        <f t="shared" si="2"/>
        <v>0</v>
      </c>
      <c r="O14" s="19">
        <f t="shared" si="3"/>
        <v>0</v>
      </c>
    </row>
    <row r="15" spans="1:15" ht="15" x14ac:dyDescent="0.25">
      <c r="A15"/>
      <c r="B15"/>
      <c r="C15"/>
      <c r="D15" s="49"/>
      <c r="E15" s="8"/>
      <c r="F15" s="6"/>
      <c r="G15" s="6"/>
      <c r="H15" s="6"/>
      <c r="I15" s="6"/>
      <c r="J15" s="33"/>
      <c r="K15" s="38">
        <f>(SplashPage!$E$3 *E15) + (SplashPage!$E$4*F15) + (SplashPage!$E$5 *G15) + (SplashPage!$E$6 *H15) + (SplashPage!$E$7 *I15) + (SplashPage!$E$8 * J15)</f>
        <v>0</v>
      </c>
      <c r="L15" s="35">
        <f t="shared" si="0"/>
        <v>0</v>
      </c>
      <c r="M15" s="16">
        <f t="shared" si="1"/>
        <v>0</v>
      </c>
      <c r="N15" s="16">
        <f t="shared" si="2"/>
        <v>0</v>
      </c>
      <c r="O15" s="17">
        <f t="shared" si="3"/>
        <v>0</v>
      </c>
    </row>
    <row r="16" spans="1:15" ht="15" x14ac:dyDescent="0.25">
      <c r="A16"/>
      <c r="B16"/>
      <c r="C16"/>
      <c r="D16" s="49"/>
      <c r="E16" s="8"/>
      <c r="F16" s="6"/>
      <c r="G16" s="6"/>
      <c r="H16" s="6"/>
      <c r="I16" s="6"/>
      <c r="J16" s="33"/>
      <c r="K16" s="38">
        <f>(SplashPage!$E$3 *E16) + (SplashPage!$E$4*F16) + (SplashPage!$E$5 *G16) + (SplashPage!$E$6 *H16) + (SplashPage!$E$7 *I16) + (SplashPage!$E$8 * J16)</f>
        <v>0</v>
      </c>
      <c r="L16" s="36">
        <f t="shared" si="0"/>
        <v>0</v>
      </c>
      <c r="M16" s="18">
        <f t="shared" si="1"/>
        <v>0</v>
      </c>
      <c r="N16" s="18">
        <f t="shared" si="2"/>
        <v>0</v>
      </c>
      <c r="O16" s="19">
        <f t="shared" si="3"/>
        <v>0</v>
      </c>
    </row>
    <row r="17" spans="1:15" ht="15" x14ac:dyDescent="0.25">
      <c r="A17"/>
      <c r="B17"/>
      <c r="C17"/>
      <c r="D17" s="49"/>
      <c r="E17" s="8"/>
      <c r="F17" s="6"/>
      <c r="G17" s="6"/>
      <c r="H17" s="6"/>
      <c r="I17" s="6"/>
      <c r="J17" s="33"/>
      <c r="K17" s="38">
        <f>(SplashPage!$E$3 *E17) + (SplashPage!$E$4*F17) + (SplashPage!$E$5 *G17) + (SplashPage!$E$6 *H17) + (SplashPage!$E$7 *I17) + (SplashPage!$E$8 * J17)</f>
        <v>0</v>
      </c>
      <c r="L17" s="35">
        <f t="shared" si="0"/>
        <v>0</v>
      </c>
      <c r="M17" s="16">
        <f t="shared" si="1"/>
        <v>0</v>
      </c>
      <c r="N17" s="16">
        <f t="shared" si="2"/>
        <v>0</v>
      </c>
      <c r="O17" s="17">
        <f t="shared" si="3"/>
        <v>0</v>
      </c>
    </row>
    <row r="18" spans="1:15" ht="15" x14ac:dyDescent="0.25">
      <c r="A18"/>
      <c r="B18"/>
      <c r="C18"/>
      <c r="D18" s="49"/>
      <c r="E18" s="8"/>
      <c r="F18" s="6"/>
      <c r="G18" s="6"/>
      <c r="H18" s="6"/>
      <c r="I18" s="6"/>
      <c r="J18" s="33"/>
      <c r="K18" s="38">
        <f>(SplashPage!$E$3 *E18) + (SplashPage!$E$4*F18) + (SplashPage!$E$5 *G18) + (SplashPage!$E$6 *H18) + (SplashPage!$E$7 *I18) + (SplashPage!$E$8 * J18)</f>
        <v>0</v>
      </c>
      <c r="L18" s="36">
        <f t="shared" si="0"/>
        <v>0</v>
      </c>
      <c r="M18" s="18">
        <f t="shared" si="1"/>
        <v>0</v>
      </c>
      <c r="N18" s="18">
        <f t="shared" si="2"/>
        <v>0</v>
      </c>
      <c r="O18" s="19">
        <f t="shared" si="3"/>
        <v>0</v>
      </c>
    </row>
    <row r="19" spans="1:15" ht="15" x14ac:dyDescent="0.25">
      <c r="A19"/>
      <c r="B19"/>
      <c r="C19"/>
      <c r="D19" s="49"/>
      <c r="E19" s="8"/>
      <c r="F19" s="6"/>
      <c r="G19" s="6"/>
      <c r="H19" s="6"/>
      <c r="I19" s="6"/>
      <c r="J19" s="33"/>
      <c r="K19" s="38">
        <f>(SplashPage!$E$3 *E19) + (SplashPage!$E$4*F19) + (SplashPage!$E$5 *G19) + (SplashPage!$E$6 *H19) + (SplashPage!$E$7 *I19) + (SplashPage!$E$8 * J19)</f>
        <v>0</v>
      </c>
      <c r="L19" s="35">
        <f t="shared" si="0"/>
        <v>0</v>
      </c>
      <c r="M19" s="16">
        <f t="shared" si="1"/>
        <v>0</v>
      </c>
      <c r="N19" s="16">
        <f t="shared" si="2"/>
        <v>0</v>
      </c>
      <c r="O19" s="17">
        <f t="shared" si="3"/>
        <v>0</v>
      </c>
    </row>
    <row r="20" spans="1:15" ht="15" x14ac:dyDescent="0.25">
      <c r="A20"/>
      <c r="B20"/>
      <c r="C20"/>
      <c r="D20" s="49"/>
      <c r="E20" s="8"/>
      <c r="F20" s="6"/>
      <c r="G20" s="6"/>
      <c r="H20" s="6"/>
      <c r="I20" s="6"/>
      <c r="J20" s="33"/>
      <c r="K20" s="38">
        <f>(SplashPage!$E$3 *E20) + (SplashPage!$E$4*F20) + (SplashPage!$E$5 *G20) + (SplashPage!$E$6 *H20) + (SplashPage!$E$7 *I20) + (SplashPage!$E$8 * J20)</f>
        <v>0</v>
      </c>
      <c r="L20" s="36">
        <f t="shared" si="0"/>
        <v>0</v>
      </c>
      <c r="M20" s="18">
        <f t="shared" si="1"/>
        <v>0</v>
      </c>
      <c r="N20" s="18">
        <f t="shared" si="2"/>
        <v>0</v>
      </c>
      <c r="O20" s="19">
        <f t="shared" si="3"/>
        <v>0</v>
      </c>
    </row>
    <row r="21" spans="1:15" ht="15" x14ac:dyDescent="0.25">
      <c r="A21"/>
      <c r="B21"/>
      <c r="C21"/>
      <c r="D21" s="49"/>
      <c r="E21" s="8"/>
      <c r="F21" s="6"/>
      <c r="G21" s="6"/>
      <c r="H21" s="6"/>
      <c r="I21" s="6"/>
      <c r="J21" s="33"/>
      <c r="K21" s="38">
        <f>(SplashPage!$E$3 *E21) + (SplashPage!$E$4*F21) + (SplashPage!$E$5 *G21) + (SplashPage!$E$6 *H21) + (SplashPage!$E$7 *I21) + (SplashPage!$E$8 * J21)</f>
        <v>0</v>
      </c>
      <c r="L21" s="35">
        <f t="shared" si="0"/>
        <v>0</v>
      </c>
      <c r="M21" s="16">
        <f t="shared" si="1"/>
        <v>0</v>
      </c>
      <c r="N21" s="16">
        <f t="shared" si="2"/>
        <v>0</v>
      </c>
      <c r="O21" s="17">
        <f t="shared" si="3"/>
        <v>0</v>
      </c>
    </row>
    <row r="22" spans="1:15" ht="15" x14ac:dyDescent="0.25">
      <c r="A22"/>
      <c r="B22"/>
      <c r="C22"/>
      <c r="D22" s="49"/>
      <c r="E22" s="8"/>
      <c r="F22" s="6"/>
      <c r="G22" s="6"/>
      <c r="H22" s="6"/>
      <c r="I22" s="6"/>
      <c r="J22" s="33"/>
      <c r="K22" s="38">
        <f>(SplashPage!$E$3 *E22) + (SplashPage!$E$4*F22) + (SplashPage!$E$5 *G22) + (SplashPage!$E$6 *H22) + (SplashPage!$E$7 *I22) + (SplashPage!$E$8 * J22)</f>
        <v>0</v>
      </c>
      <c r="L22" s="36">
        <f t="shared" si="0"/>
        <v>0</v>
      </c>
      <c r="M22" s="18">
        <f t="shared" si="1"/>
        <v>0</v>
      </c>
      <c r="N22" s="18">
        <f t="shared" si="2"/>
        <v>0</v>
      </c>
      <c r="O22" s="19">
        <f t="shared" si="3"/>
        <v>0</v>
      </c>
    </row>
    <row r="23" spans="1:15" ht="15" x14ac:dyDescent="0.25">
      <c r="A23"/>
      <c r="B23"/>
      <c r="C23"/>
      <c r="D23" s="49"/>
      <c r="E23" s="8"/>
      <c r="F23" s="6"/>
      <c r="G23" s="6"/>
      <c r="H23" s="6"/>
      <c r="I23" s="6"/>
      <c r="J23" s="33"/>
      <c r="K23" s="38">
        <f>(SplashPage!$E$3 *E23) + (SplashPage!$E$4*F23) + (SplashPage!$E$5 *G23) + (SplashPage!$E$6 *H23) + (SplashPage!$E$7 *I23) + (SplashPage!$E$8 * J23)</f>
        <v>0</v>
      </c>
      <c r="L23" s="35">
        <f t="shared" si="0"/>
        <v>0</v>
      </c>
      <c r="M23" s="16">
        <f t="shared" si="1"/>
        <v>0</v>
      </c>
      <c r="N23" s="16">
        <f t="shared" si="2"/>
        <v>0</v>
      </c>
      <c r="O23" s="17">
        <f t="shared" si="3"/>
        <v>0</v>
      </c>
    </row>
    <row r="24" spans="1:15" ht="15" x14ac:dyDescent="0.25">
      <c r="A24"/>
      <c r="B24"/>
      <c r="C24"/>
      <c r="D24" s="49"/>
      <c r="E24" s="8"/>
      <c r="F24" s="6"/>
      <c r="G24" s="6"/>
      <c r="H24" s="6"/>
      <c r="I24" s="6"/>
      <c r="J24" s="33"/>
      <c r="K24" s="38">
        <f>(SplashPage!$E$3 *E24) + (SplashPage!$E$4*F24) + (SplashPage!$E$5 *G24) + (SplashPage!$E$6 *H24) + (SplashPage!$E$7 *I24) + (SplashPage!$E$8 * J24)</f>
        <v>0</v>
      </c>
      <c r="L24" s="36">
        <f t="shared" si="0"/>
        <v>0</v>
      </c>
      <c r="M24" s="18">
        <f t="shared" si="1"/>
        <v>0</v>
      </c>
      <c r="N24" s="18">
        <f t="shared" si="2"/>
        <v>0</v>
      </c>
      <c r="O24" s="19">
        <f t="shared" si="3"/>
        <v>0</v>
      </c>
    </row>
    <row r="25" spans="1:15" ht="15" x14ac:dyDescent="0.25">
      <c r="A25"/>
      <c r="B25"/>
      <c r="C25"/>
      <c r="D25" s="49"/>
      <c r="E25" s="8"/>
      <c r="F25" s="6"/>
      <c r="G25" s="6"/>
      <c r="H25" s="6"/>
      <c r="I25" s="6"/>
      <c r="J25" s="33"/>
      <c r="K25" s="38">
        <f>(SplashPage!$E$3 *E25) + (SplashPage!$E$4*F25) + (SplashPage!$E$5 *G25) + (SplashPage!$E$6 *H25) + (SplashPage!$E$7 *I25) + (SplashPage!$E$8 * J25)</f>
        <v>0</v>
      </c>
      <c r="L25" s="35">
        <f t="shared" si="0"/>
        <v>0</v>
      </c>
      <c r="M25" s="16">
        <f t="shared" si="1"/>
        <v>0</v>
      </c>
      <c r="N25" s="16">
        <f t="shared" si="2"/>
        <v>0</v>
      </c>
      <c r="O25" s="17">
        <f t="shared" si="3"/>
        <v>0</v>
      </c>
    </row>
    <row r="26" spans="1:15" ht="15" x14ac:dyDescent="0.25">
      <c r="A26"/>
      <c r="B26"/>
      <c r="C26"/>
      <c r="D26" s="49"/>
      <c r="E26" s="8"/>
      <c r="F26" s="6"/>
      <c r="G26" s="6"/>
      <c r="H26" s="6"/>
      <c r="I26" s="6"/>
      <c r="J26" s="33"/>
      <c r="K26" s="38">
        <f>(SplashPage!$E$3 *E26) + (SplashPage!$E$4*F26) + (SplashPage!$E$5 *G26) + (SplashPage!$E$6 *H26) + (SplashPage!$E$7 *I26) + (SplashPage!$E$8 * J26)</f>
        <v>0</v>
      </c>
      <c r="L26" s="36">
        <f t="shared" si="0"/>
        <v>0</v>
      </c>
      <c r="M26" s="18">
        <f t="shared" si="1"/>
        <v>0</v>
      </c>
      <c r="N26" s="18">
        <f t="shared" si="2"/>
        <v>0</v>
      </c>
      <c r="O26" s="19">
        <f t="shared" si="3"/>
        <v>0</v>
      </c>
    </row>
    <row r="27" spans="1:15" ht="15" x14ac:dyDescent="0.25">
      <c r="A27"/>
      <c r="B27"/>
      <c r="C27"/>
      <c r="D27" s="49"/>
      <c r="E27" s="8"/>
      <c r="F27" s="6"/>
      <c r="G27" s="6"/>
      <c r="H27" s="6"/>
      <c r="I27" s="6"/>
      <c r="J27" s="33"/>
      <c r="K27" s="38">
        <f>(SplashPage!$E$3 *E27) + (SplashPage!$E$4*F27) + (SplashPage!$E$5 *G27) + (SplashPage!$E$6 *H27) + (SplashPage!$E$7 *I27) + (SplashPage!$E$8 * J27)</f>
        <v>0</v>
      </c>
      <c r="L27" s="35">
        <f t="shared" si="0"/>
        <v>0</v>
      </c>
      <c r="M27" s="16">
        <f t="shared" si="1"/>
        <v>0</v>
      </c>
      <c r="N27" s="16">
        <f t="shared" si="2"/>
        <v>0</v>
      </c>
      <c r="O27" s="17">
        <f t="shared" si="3"/>
        <v>0</v>
      </c>
    </row>
    <row r="28" spans="1:15" ht="15" x14ac:dyDescent="0.25">
      <c r="A28"/>
      <c r="B28"/>
      <c r="C28"/>
      <c r="D28" s="49"/>
      <c r="E28" s="8"/>
      <c r="F28" s="6"/>
      <c r="G28" s="6"/>
      <c r="H28" s="6"/>
      <c r="I28" s="6"/>
      <c r="J28" s="33"/>
      <c r="K28" s="38">
        <f>(SplashPage!$E$3 *E28) + (SplashPage!$E$4*F28) + (SplashPage!$E$5 *G28) + (SplashPage!$E$6 *H28) + (SplashPage!$E$7 *I28) + (SplashPage!$E$8 * J28)</f>
        <v>0</v>
      </c>
      <c r="L28" s="35">
        <f t="shared" si="0"/>
        <v>0</v>
      </c>
      <c r="M28" s="16">
        <f t="shared" si="1"/>
        <v>0</v>
      </c>
      <c r="N28" s="16">
        <f t="shared" si="2"/>
        <v>0</v>
      </c>
      <c r="O28" s="17">
        <f t="shared" si="3"/>
        <v>0</v>
      </c>
    </row>
    <row r="29" spans="1:15" ht="15" x14ac:dyDescent="0.25">
      <c r="A29"/>
      <c r="B29"/>
      <c r="C29"/>
      <c r="D29" s="49"/>
      <c r="E29" s="8"/>
      <c r="F29" s="6"/>
      <c r="G29" s="6"/>
      <c r="H29" s="6"/>
      <c r="I29" s="6"/>
      <c r="J29" s="33"/>
      <c r="K29" s="38">
        <f>(SplashPage!$E$3 *E29) + (SplashPage!$E$4*F29) + (SplashPage!$E$5 *G29) + (SplashPage!$E$6 *H29) + (SplashPage!$E$7 *I29) + (SplashPage!$E$8 * J29)</f>
        <v>0</v>
      </c>
      <c r="L29" s="36">
        <f t="shared" si="0"/>
        <v>0</v>
      </c>
      <c r="M29" s="18">
        <f t="shared" si="1"/>
        <v>0</v>
      </c>
      <c r="N29" s="18">
        <f t="shared" si="2"/>
        <v>0</v>
      </c>
      <c r="O29" s="19">
        <f t="shared" si="3"/>
        <v>0</v>
      </c>
    </row>
    <row r="30" spans="1:15" ht="15" x14ac:dyDescent="0.25">
      <c r="A30"/>
      <c r="B30"/>
      <c r="C30"/>
      <c r="D30" s="49"/>
      <c r="E30" s="8"/>
      <c r="F30" s="6"/>
      <c r="G30" s="6"/>
      <c r="H30" s="6"/>
      <c r="I30" s="6"/>
      <c r="J30" s="33"/>
      <c r="K30" s="38">
        <f>(SplashPage!$E$3 *E30) + (SplashPage!$E$4*F30) + (SplashPage!$E$5 *G30) + (SplashPage!$E$6 *H30) + (SplashPage!$E$7 *I30) + (SplashPage!$E$8 * J30)</f>
        <v>0</v>
      </c>
      <c r="L30" s="35">
        <f t="shared" si="0"/>
        <v>0</v>
      </c>
      <c r="M30" s="16">
        <f t="shared" si="1"/>
        <v>0</v>
      </c>
      <c r="N30" s="16">
        <f t="shared" si="2"/>
        <v>0</v>
      </c>
      <c r="O30" s="17">
        <f t="shared" si="3"/>
        <v>0</v>
      </c>
    </row>
    <row r="31" spans="1:15" ht="15" x14ac:dyDescent="0.25">
      <c r="A31"/>
      <c r="B31"/>
      <c r="C31"/>
      <c r="D31" s="49"/>
      <c r="E31" s="8"/>
      <c r="F31" s="6"/>
      <c r="G31" s="6"/>
      <c r="H31" s="6"/>
      <c r="I31" s="6"/>
      <c r="J31" s="33"/>
      <c r="K31" s="38">
        <f>(SplashPage!$E$3 *E31) + (SplashPage!$E$4*F31) + (SplashPage!$E$5 *G31) + (SplashPage!$E$6 *H31) + (SplashPage!$E$7 *I31) + (SplashPage!$E$8 * J31)</f>
        <v>0</v>
      </c>
      <c r="L31" s="36">
        <f t="shared" si="0"/>
        <v>0</v>
      </c>
      <c r="M31" s="18">
        <f t="shared" si="1"/>
        <v>0</v>
      </c>
      <c r="N31" s="18">
        <f t="shared" si="2"/>
        <v>0</v>
      </c>
      <c r="O31" s="19">
        <f t="shared" si="3"/>
        <v>0</v>
      </c>
    </row>
    <row r="32" spans="1:15" ht="15" x14ac:dyDescent="0.25">
      <c r="A32"/>
      <c r="B32"/>
      <c r="C32"/>
      <c r="D32" s="49"/>
      <c r="E32" s="8"/>
      <c r="F32" s="6"/>
      <c r="G32" s="6"/>
      <c r="H32" s="6"/>
      <c r="I32" s="6"/>
      <c r="J32" s="33"/>
      <c r="K32" s="38">
        <f>(SplashPage!$E$3 *E32) + (SplashPage!$E$4*F32) + (SplashPage!$E$5 *G32) + (SplashPage!$E$6 *H32) + (SplashPage!$E$7 *I32) + (SplashPage!$E$8 * J32)</f>
        <v>0</v>
      </c>
      <c r="L32" s="35">
        <f t="shared" si="0"/>
        <v>0</v>
      </c>
      <c r="M32" s="16">
        <f t="shared" si="1"/>
        <v>0</v>
      </c>
      <c r="N32" s="16">
        <f t="shared" si="2"/>
        <v>0</v>
      </c>
      <c r="O32" s="17">
        <f t="shared" si="3"/>
        <v>0</v>
      </c>
    </row>
    <row r="33" spans="1:15" ht="15" x14ac:dyDescent="0.25">
      <c r="A33"/>
      <c r="B33"/>
      <c r="C33"/>
      <c r="D33" s="49"/>
      <c r="E33" s="8"/>
      <c r="F33" s="6"/>
      <c r="G33" s="6"/>
      <c r="H33" s="6"/>
      <c r="I33" s="6"/>
      <c r="J33" s="33"/>
      <c r="K33" s="38">
        <f>(SplashPage!$E$3 *E33) + (SplashPage!$E$4*F33) + (SplashPage!$E$5 *G33) + (SplashPage!$E$6 *H33) + (SplashPage!$E$7 *I33) + (SplashPage!$E$8 * J33)</f>
        <v>0</v>
      </c>
      <c r="L33" s="36">
        <f t="shared" si="0"/>
        <v>0</v>
      </c>
      <c r="M33" s="18">
        <f t="shared" si="1"/>
        <v>0</v>
      </c>
      <c r="N33" s="18">
        <f t="shared" si="2"/>
        <v>0</v>
      </c>
      <c r="O33" s="19">
        <f t="shared" si="3"/>
        <v>0</v>
      </c>
    </row>
    <row r="34" spans="1:15" ht="15" x14ac:dyDescent="0.25">
      <c r="A34"/>
      <c r="B34"/>
      <c r="C34"/>
      <c r="D34" s="49"/>
      <c r="E34" s="8"/>
      <c r="F34" s="6"/>
      <c r="G34" s="6"/>
      <c r="H34" s="6"/>
      <c r="I34" s="6"/>
      <c r="J34" s="33"/>
      <c r="K34" s="38">
        <f>(SplashPage!$E$3 *E34) + (SplashPage!$E$4*F34) + (SplashPage!$E$5 *G34) + (SplashPage!$E$6 *H34) + (SplashPage!$E$7 *I34) + (SplashPage!$E$8 * J34)</f>
        <v>0</v>
      </c>
      <c r="L34" s="35">
        <f t="shared" si="0"/>
        <v>0</v>
      </c>
      <c r="M34" s="16">
        <f t="shared" si="1"/>
        <v>0</v>
      </c>
      <c r="N34" s="16">
        <f t="shared" si="2"/>
        <v>0</v>
      </c>
      <c r="O34" s="17">
        <f t="shared" si="3"/>
        <v>0</v>
      </c>
    </row>
    <row r="35" spans="1:15" ht="15" x14ac:dyDescent="0.25">
      <c r="A35"/>
      <c r="B35"/>
      <c r="C35"/>
      <c r="D35" s="49"/>
      <c r="E35" s="8"/>
      <c r="F35" s="6"/>
      <c r="G35" s="6"/>
      <c r="H35" s="6"/>
      <c r="I35" s="6"/>
      <c r="J35" s="33"/>
      <c r="K35" s="38">
        <f>(SplashPage!$E$3 *E35) + (SplashPage!$E$4*F35) + (SplashPage!$E$5 *G35) + (SplashPage!$E$6 *H35) + (SplashPage!$E$7 *I35) + (SplashPage!$E$8 * J35)</f>
        <v>0</v>
      </c>
      <c r="L35" s="36">
        <f t="shared" si="0"/>
        <v>0</v>
      </c>
      <c r="M35" s="18">
        <f t="shared" si="1"/>
        <v>0</v>
      </c>
      <c r="N35" s="18">
        <f t="shared" si="2"/>
        <v>0</v>
      </c>
      <c r="O35" s="19">
        <f t="shared" si="3"/>
        <v>0</v>
      </c>
    </row>
    <row r="36" spans="1:15" ht="15" x14ac:dyDescent="0.25">
      <c r="A36"/>
      <c r="B36"/>
      <c r="C36"/>
      <c r="D36" s="49"/>
      <c r="E36" s="8"/>
      <c r="F36" s="6"/>
      <c r="G36" s="6"/>
      <c r="H36" s="6"/>
      <c r="I36" s="6"/>
      <c r="J36" s="33"/>
      <c r="K36" s="38">
        <f>(SplashPage!$E$3 *E36) + (SplashPage!$E$4*F36) + (SplashPage!$E$5 *G36) + (SplashPage!$E$6 *H36) + (SplashPage!$E$7 *I36) + (SplashPage!$E$8 * J36)</f>
        <v>0</v>
      </c>
      <c r="L36" s="35">
        <f t="shared" si="0"/>
        <v>0</v>
      </c>
      <c r="M36" s="16">
        <f t="shared" si="1"/>
        <v>0</v>
      </c>
      <c r="N36" s="16">
        <f t="shared" si="2"/>
        <v>0</v>
      </c>
      <c r="O36" s="17">
        <f t="shared" si="3"/>
        <v>0</v>
      </c>
    </row>
    <row r="37" spans="1:15" ht="15" x14ac:dyDescent="0.25">
      <c r="A37"/>
      <c r="B37"/>
      <c r="C37"/>
      <c r="D37" s="49"/>
      <c r="E37" s="8"/>
      <c r="F37" s="6"/>
      <c r="G37" s="6"/>
      <c r="H37" s="6"/>
      <c r="I37" s="6"/>
      <c r="J37" s="33"/>
      <c r="K37" s="38">
        <f>(SplashPage!$E$3 *E37) + (SplashPage!$E$4*F37) + (SplashPage!$E$5 *G37) + (SplashPage!$E$6 *H37) + (SplashPage!$E$7 *I37) + (SplashPage!$E$8 * J37)</f>
        <v>0</v>
      </c>
      <c r="L37" s="36">
        <f t="shared" si="0"/>
        <v>0</v>
      </c>
      <c r="M37" s="18">
        <f t="shared" si="1"/>
        <v>0</v>
      </c>
      <c r="N37" s="18">
        <f t="shared" si="2"/>
        <v>0</v>
      </c>
      <c r="O37" s="19">
        <f t="shared" si="3"/>
        <v>0</v>
      </c>
    </row>
    <row r="38" spans="1:15" ht="15" x14ac:dyDescent="0.25">
      <c r="A38"/>
      <c r="B38"/>
      <c r="C38"/>
      <c r="D38" s="49"/>
      <c r="E38" s="8"/>
      <c r="F38" s="6"/>
      <c r="G38" s="6"/>
      <c r="H38" s="6"/>
      <c r="I38" s="6"/>
      <c r="J38" s="33"/>
      <c r="K38" s="38">
        <f>(SplashPage!$E$3 *E38) + (SplashPage!$E$4*F38) + (SplashPage!$E$5 *G38) + (SplashPage!$E$6 *H38) + (SplashPage!$E$7 *I38) + (SplashPage!$E$8 * J38)</f>
        <v>0</v>
      </c>
      <c r="L38" s="35">
        <f t="shared" si="0"/>
        <v>0</v>
      </c>
      <c r="M38" s="16">
        <f t="shared" si="1"/>
        <v>0</v>
      </c>
      <c r="N38" s="16">
        <f t="shared" si="2"/>
        <v>0</v>
      </c>
      <c r="O38" s="17">
        <f t="shared" si="3"/>
        <v>0</v>
      </c>
    </row>
    <row r="39" spans="1:15" ht="15" x14ac:dyDescent="0.25">
      <c r="A39"/>
      <c r="B39"/>
      <c r="C39"/>
      <c r="D39" s="49"/>
      <c r="E39" s="8"/>
      <c r="F39" s="6"/>
      <c r="G39" s="6"/>
      <c r="H39" s="6"/>
      <c r="I39" s="6"/>
      <c r="J39" s="33"/>
      <c r="K39" s="38">
        <f>(SplashPage!$E$3 *E39) + (SplashPage!$E$4*F39) + (SplashPage!$E$5 *G39) + (SplashPage!$E$6 *H39) + (SplashPage!$E$7 *I39) + (SplashPage!$E$8 * J39)</f>
        <v>0</v>
      </c>
      <c r="L39" s="36">
        <f t="shared" si="0"/>
        <v>0</v>
      </c>
      <c r="M39" s="18">
        <f t="shared" si="1"/>
        <v>0</v>
      </c>
      <c r="N39" s="18">
        <f t="shared" si="2"/>
        <v>0</v>
      </c>
      <c r="O39" s="19">
        <f t="shared" si="3"/>
        <v>0</v>
      </c>
    </row>
    <row r="40" spans="1:15" ht="15" x14ac:dyDescent="0.25">
      <c r="A40"/>
      <c r="B40"/>
      <c r="C40"/>
      <c r="D40" s="49"/>
      <c r="E40" s="8"/>
      <c r="F40" s="6"/>
      <c r="G40" s="6"/>
      <c r="H40" s="6"/>
      <c r="I40" s="6"/>
      <c r="J40" s="33"/>
      <c r="K40" s="38">
        <f>(SplashPage!$E$3 *E40) + (SplashPage!$E$4*F40) + (SplashPage!$E$5 *G40) + (SplashPage!$E$6 *H40) + (SplashPage!$E$7 *I40) + (SplashPage!$E$8 * J40)</f>
        <v>0</v>
      </c>
      <c r="L40" s="35">
        <f t="shared" si="0"/>
        <v>0</v>
      </c>
      <c r="M40" s="16">
        <f t="shared" si="1"/>
        <v>0</v>
      </c>
      <c r="N40" s="16">
        <f t="shared" si="2"/>
        <v>0</v>
      </c>
      <c r="O40" s="17">
        <f t="shared" si="3"/>
        <v>0</v>
      </c>
    </row>
    <row r="41" spans="1:15" ht="15" x14ac:dyDescent="0.25">
      <c r="A41"/>
      <c r="B41"/>
      <c r="C41"/>
      <c r="D41" s="49"/>
      <c r="E41" s="8"/>
      <c r="F41" s="6"/>
      <c r="G41" s="6"/>
      <c r="H41" s="6"/>
      <c r="I41" s="6"/>
      <c r="J41" s="33"/>
      <c r="K41" s="38">
        <f>(SplashPage!$E$3 *E41) + (SplashPage!$E$4*F41) + (SplashPage!$E$5 *G41) + (SplashPage!$E$6 *H41) + (SplashPage!$E$7 *I41) + (SplashPage!$E$8 * J41)</f>
        <v>0</v>
      </c>
      <c r="L41" s="36">
        <f t="shared" si="0"/>
        <v>0</v>
      </c>
      <c r="M41" s="18">
        <f t="shared" si="1"/>
        <v>0</v>
      </c>
      <c r="N41" s="18">
        <f t="shared" si="2"/>
        <v>0</v>
      </c>
      <c r="O41" s="19">
        <f t="shared" si="3"/>
        <v>0</v>
      </c>
    </row>
    <row r="42" spans="1:15" ht="15" x14ac:dyDescent="0.25">
      <c r="A42"/>
      <c r="B42"/>
      <c r="C42"/>
      <c r="D42" s="49"/>
      <c r="E42" s="8"/>
      <c r="F42" s="6"/>
      <c r="G42" s="6"/>
      <c r="H42" s="6"/>
      <c r="I42" s="6"/>
      <c r="J42" s="33"/>
      <c r="K42" s="38">
        <f>(SplashPage!$E$3 *E42) + (SplashPage!$E$4*F42) + (SplashPage!$E$5 *G42) + (SplashPage!$E$6 *H42) + (SplashPage!$E$7 *I42) + (SplashPage!$E$8 * J42)</f>
        <v>0</v>
      </c>
      <c r="L42" s="35">
        <f t="shared" si="0"/>
        <v>0</v>
      </c>
      <c r="M42" s="16">
        <f t="shared" si="1"/>
        <v>0</v>
      </c>
      <c r="N42" s="16">
        <f t="shared" si="2"/>
        <v>0</v>
      </c>
      <c r="O42" s="17">
        <f t="shared" si="3"/>
        <v>0</v>
      </c>
    </row>
    <row r="43" spans="1:15" ht="15" x14ac:dyDescent="0.25">
      <c r="A43"/>
      <c r="B43"/>
      <c r="C43"/>
      <c r="D43" s="49"/>
      <c r="E43" s="8"/>
      <c r="F43" s="6"/>
      <c r="G43" s="6"/>
      <c r="H43" s="6"/>
      <c r="I43" s="6"/>
      <c r="J43" s="33"/>
      <c r="K43" s="38">
        <f>(SplashPage!$E$3 *E43) + (SplashPage!$E$4*F43) + (SplashPage!$E$5 *G43) + (SplashPage!$E$6 *H43) + (SplashPage!$E$7 *I43) + (SplashPage!$E$8 * J43)</f>
        <v>0</v>
      </c>
      <c r="L43" s="36">
        <f t="shared" si="0"/>
        <v>0</v>
      </c>
      <c r="M43" s="18">
        <f t="shared" si="1"/>
        <v>0</v>
      </c>
      <c r="N43" s="18">
        <f t="shared" si="2"/>
        <v>0</v>
      </c>
      <c r="O43" s="19">
        <f t="shared" si="3"/>
        <v>0</v>
      </c>
    </row>
    <row r="44" spans="1:15" ht="15" x14ac:dyDescent="0.25">
      <c r="A44"/>
      <c r="B44"/>
      <c r="C44"/>
      <c r="D44" s="49"/>
      <c r="E44" s="8"/>
      <c r="F44" s="6"/>
      <c r="G44" s="6"/>
      <c r="H44" s="6"/>
      <c r="I44" s="6"/>
      <c r="J44" s="33"/>
      <c r="K44" s="38">
        <f>(SplashPage!$E$3 *E44) + (SplashPage!$E$4*F44) + (SplashPage!$E$5 *G44) + (SplashPage!$E$6 *H44) + (SplashPage!$E$7 *I44) + (SplashPage!$E$8 * J44)</f>
        <v>0</v>
      </c>
      <c r="L44" s="35">
        <f t="shared" si="0"/>
        <v>0</v>
      </c>
      <c r="M44" s="16">
        <f t="shared" si="1"/>
        <v>0</v>
      </c>
      <c r="N44" s="16">
        <f t="shared" si="2"/>
        <v>0</v>
      </c>
      <c r="O44" s="17">
        <f t="shared" si="3"/>
        <v>0</v>
      </c>
    </row>
    <row r="45" spans="1:15" ht="15" x14ac:dyDescent="0.25">
      <c r="A45"/>
      <c r="B45"/>
      <c r="C45"/>
      <c r="D45" s="49"/>
      <c r="E45" s="8"/>
      <c r="F45" s="6"/>
      <c r="G45" s="6"/>
      <c r="H45" s="6"/>
      <c r="I45" s="6"/>
      <c r="J45" s="33"/>
      <c r="K45" s="38">
        <f>(SplashPage!$E$3 *E45) + (SplashPage!$E$4*F45) + (SplashPage!$E$5 *G45) + (SplashPage!$E$6 *H45) + (SplashPage!$E$7 *I45) + (SplashPage!$E$8 * J45)</f>
        <v>0</v>
      </c>
      <c r="L45" s="36">
        <f t="shared" si="0"/>
        <v>0</v>
      </c>
      <c r="M45" s="18">
        <f t="shared" si="1"/>
        <v>0</v>
      </c>
      <c r="N45" s="18">
        <f t="shared" si="2"/>
        <v>0</v>
      </c>
      <c r="O45" s="19">
        <f t="shared" si="3"/>
        <v>0</v>
      </c>
    </row>
    <row r="46" spans="1:15" ht="15" x14ac:dyDescent="0.25">
      <c r="A46"/>
      <c r="B46"/>
      <c r="C46"/>
      <c r="D46" s="49"/>
      <c r="E46" s="8"/>
      <c r="F46" s="6"/>
      <c r="G46" s="6"/>
      <c r="H46" s="6"/>
      <c r="I46" s="6"/>
      <c r="J46" s="33"/>
      <c r="K46" s="38">
        <f>(SplashPage!$E$3 *E46) + (SplashPage!$E$4*F46) + (SplashPage!$E$5 *G46) + (SplashPage!$E$6 *H46) + (SplashPage!$E$7 *I46) + (SplashPage!$E$8 * J46)</f>
        <v>0</v>
      </c>
      <c r="L46" s="35">
        <f t="shared" si="0"/>
        <v>0</v>
      </c>
      <c r="M46" s="16">
        <f t="shared" si="1"/>
        <v>0</v>
      </c>
      <c r="N46" s="16">
        <f t="shared" si="2"/>
        <v>0</v>
      </c>
      <c r="O46" s="17">
        <f t="shared" si="3"/>
        <v>0</v>
      </c>
    </row>
    <row r="47" spans="1:15" ht="15" x14ac:dyDescent="0.25">
      <c r="A47"/>
      <c r="B47"/>
      <c r="C47"/>
      <c r="D47" s="49"/>
      <c r="E47" s="8"/>
      <c r="F47" s="6"/>
      <c r="G47" s="6"/>
      <c r="H47" s="6"/>
      <c r="I47" s="6"/>
      <c r="J47" s="33"/>
      <c r="K47" s="38">
        <f>(SplashPage!$E$3 *E47) + (SplashPage!$E$4*F47) + (SplashPage!$E$5 *G47) + (SplashPage!$E$6 *H47) + (SplashPage!$E$7 *I47) + (SplashPage!$E$8 * J47)</f>
        <v>0</v>
      </c>
      <c r="L47" s="36">
        <f t="shared" si="0"/>
        <v>0</v>
      </c>
      <c r="M47" s="18">
        <f t="shared" si="1"/>
        <v>0</v>
      </c>
      <c r="N47" s="18">
        <f t="shared" si="2"/>
        <v>0</v>
      </c>
      <c r="O47" s="19">
        <f t="shared" si="3"/>
        <v>0</v>
      </c>
    </row>
    <row r="48" spans="1:15" ht="15" x14ac:dyDescent="0.25">
      <c r="A48"/>
      <c r="B48"/>
      <c r="C48"/>
      <c r="D48" s="49"/>
      <c r="E48" s="8"/>
      <c r="F48" s="6"/>
      <c r="G48" s="6"/>
      <c r="H48" s="6"/>
      <c r="I48" s="6"/>
      <c r="J48" s="33"/>
      <c r="K48" s="38">
        <f>(SplashPage!$E$3 *E48) + (SplashPage!$E$4*F48) + (SplashPage!$E$5 *G48) + (SplashPage!$E$6 *H48) + (SplashPage!$E$7 *I48) + (SplashPage!$E$8 * J48)</f>
        <v>0</v>
      </c>
      <c r="L48" s="35">
        <f t="shared" si="0"/>
        <v>0</v>
      </c>
      <c r="M48" s="16">
        <f t="shared" si="1"/>
        <v>0</v>
      </c>
      <c r="N48" s="16">
        <f t="shared" si="2"/>
        <v>0</v>
      </c>
      <c r="O48" s="17">
        <f t="shared" si="3"/>
        <v>0</v>
      </c>
    </row>
    <row r="49" spans="1:15" ht="15" x14ac:dyDescent="0.25">
      <c r="A49"/>
      <c r="B49"/>
      <c r="C49"/>
      <c r="D49" s="49"/>
      <c r="E49" s="8"/>
      <c r="F49" s="6"/>
      <c r="G49" s="6"/>
      <c r="H49" s="6"/>
      <c r="I49" s="6"/>
      <c r="J49" s="33"/>
      <c r="K49" s="38">
        <f>(SplashPage!$E$3 *E49) + (SplashPage!$E$4*F49) + (SplashPage!$E$5 *G49) + (SplashPage!$E$6 *H49) + (SplashPage!$E$7 *I49) + (SplashPage!$E$8 * J49)</f>
        <v>0</v>
      </c>
      <c r="L49" s="36">
        <f t="shared" si="0"/>
        <v>0</v>
      </c>
      <c r="M49" s="18">
        <f t="shared" si="1"/>
        <v>0</v>
      </c>
      <c r="N49" s="18">
        <f t="shared" si="2"/>
        <v>0</v>
      </c>
      <c r="O49" s="19">
        <f t="shared" si="3"/>
        <v>0</v>
      </c>
    </row>
    <row r="50" spans="1:15" ht="15" x14ac:dyDescent="0.25">
      <c r="A50"/>
      <c r="B50"/>
      <c r="C50"/>
      <c r="D50" s="49"/>
      <c r="E50" s="8"/>
      <c r="F50" s="6"/>
      <c r="G50" s="6"/>
      <c r="H50" s="6"/>
      <c r="I50" s="6"/>
      <c r="J50" s="33"/>
      <c r="K50" s="38">
        <f>(SplashPage!$E$3 *E50) + (SplashPage!$E$4*F50) + (SplashPage!$E$5 *G50) + (SplashPage!$E$6 *H50) + (SplashPage!$E$7 *I50) + (SplashPage!$E$8 * J50)</f>
        <v>0</v>
      </c>
      <c r="L50" s="35">
        <f t="shared" si="0"/>
        <v>0</v>
      </c>
      <c r="M50" s="16">
        <f t="shared" si="1"/>
        <v>0</v>
      </c>
      <c r="N50" s="16">
        <f t="shared" si="2"/>
        <v>0</v>
      </c>
      <c r="O50" s="17">
        <f t="shared" si="3"/>
        <v>0</v>
      </c>
    </row>
    <row r="51" spans="1:15" ht="15" x14ac:dyDescent="0.25">
      <c r="A51"/>
      <c r="B51"/>
      <c r="C51"/>
      <c r="D51" s="49"/>
      <c r="E51" s="8"/>
      <c r="F51" s="6"/>
      <c r="G51" s="6"/>
      <c r="H51" s="6"/>
      <c r="I51" s="6"/>
      <c r="J51" s="33"/>
      <c r="K51" s="38">
        <f>(SplashPage!$E$3 *E51) + (SplashPage!$E$4*F51) + (SplashPage!$E$5 *G51) + (SplashPage!$E$6 *H51) + (SplashPage!$E$7 *I51) + (SplashPage!$E$8 * J51)</f>
        <v>0</v>
      </c>
      <c r="L51" s="36">
        <f t="shared" si="0"/>
        <v>0</v>
      </c>
      <c r="M51" s="18">
        <f t="shared" si="1"/>
        <v>0</v>
      </c>
      <c r="N51" s="18">
        <f t="shared" si="2"/>
        <v>0</v>
      </c>
      <c r="O51" s="19">
        <f t="shared" si="3"/>
        <v>0</v>
      </c>
    </row>
    <row r="52" spans="1:15" ht="15" x14ac:dyDescent="0.25">
      <c r="A52"/>
      <c r="B52"/>
      <c r="C52"/>
      <c r="D52" s="49"/>
      <c r="E52" s="8"/>
      <c r="F52" s="6"/>
      <c r="G52" s="6"/>
      <c r="H52" s="6"/>
      <c r="I52" s="6"/>
      <c r="J52" s="33"/>
      <c r="K52" s="38">
        <f>(SplashPage!$E$3 *E52) + (SplashPage!$E$4*F52) + (SplashPage!$E$5 *G52) + (SplashPage!$E$6 *H52) + (SplashPage!$E$7 *I52) + (SplashPage!$E$8 * J52)</f>
        <v>0</v>
      </c>
      <c r="L52" s="35">
        <f t="shared" si="0"/>
        <v>0</v>
      </c>
      <c r="M52" s="16">
        <f t="shared" si="1"/>
        <v>0</v>
      </c>
      <c r="N52" s="16">
        <f t="shared" si="2"/>
        <v>0</v>
      </c>
      <c r="O52" s="17">
        <f t="shared" si="3"/>
        <v>0</v>
      </c>
    </row>
    <row r="53" spans="1:15" ht="15" x14ac:dyDescent="0.25">
      <c r="A53"/>
      <c r="B53"/>
      <c r="C53"/>
      <c r="D53" s="49"/>
      <c r="E53" s="8"/>
      <c r="F53" s="6"/>
      <c r="G53" s="6"/>
      <c r="H53" s="6"/>
      <c r="I53" s="6"/>
      <c r="J53" s="33"/>
      <c r="K53" s="38">
        <f>(SplashPage!$E$3 *E53) + (SplashPage!$E$4*F53) + (SplashPage!$E$5 *G53) + (SplashPage!$E$6 *H53) + (SplashPage!$E$7 *I53) + (SplashPage!$E$8 * J53)</f>
        <v>0</v>
      </c>
      <c r="L53" s="36">
        <f t="shared" si="0"/>
        <v>0</v>
      </c>
      <c r="M53" s="18">
        <f t="shared" si="1"/>
        <v>0</v>
      </c>
      <c r="N53" s="18">
        <f t="shared" si="2"/>
        <v>0</v>
      </c>
      <c r="O53" s="19">
        <f t="shared" si="3"/>
        <v>0</v>
      </c>
    </row>
    <row r="54" spans="1:15" ht="15" x14ac:dyDescent="0.25">
      <c r="A54"/>
      <c r="B54"/>
      <c r="C54"/>
      <c r="D54" s="49"/>
      <c r="E54" s="8"/>
      <c r="F54" s="6"/>
      <c r="G54" s="6"/>
      <c r="H54" s="6"/>
      <c r="I54" s="6"/>
      <c r="J54" s="33"/>
      <c r="K54" s="38">
        <f>(SplashPage!$E$3 *E54) + (SplashPage!$E$4*F54) + (SplashPage!$E$5 *G54) + (SplashPage!$E$6 *H54) + (SplashPage!$E$7 *I54) + (SplashPage!$E$8 * J54)</f>
        <v>0</v>
      </c>
      <c r="L54" s="35">
        <f t="shared" si="0"/>
        <v>0</v>
      </c>
      <c r="M54" s="16">
        <f t="shared" si="1"/>
        <v>0</v>
      </c>
      <c r="N54" s="16">
        <f t="shared" si="2"/>
        <v>0</v>
      </c>
      <c r="O54" s="17">
        <f t="shared" si="3"/>
        <v>0</v>
      </c>
    </row>
    <row r="55" spans="1:15" ht="15.75" thickBot="1" x14ac:dyDescent="0.3">
      <c r="A55"/>
      <c r="B55"/>
      <c r="C55"/>
      <c r="D55" s="49"/>
      <c r="E55" s="8"/>
      <c r="F55" s="6"/>
      <c r="G55" s="6"/>
      <c r="H55" s="6"/>
      <c r="I55" s="6"/>
      <c r="J55" s="33"/>
      <c r="K55" s="38">
        <f>(SplashPage!$E$3 *E55) + (SplashPage!$E$4*F55) + (SplashPage!$E$5 *G55) + (SplashPage!$E$6 *H55) + (SplashPage!$E$7 *I55) + (SplashPage!$E$8 * J55)</f>
        <v>0</v>
      </c>
      <c r="L55" s="36">
        <f t="shared" si="0"/>
        <v>0</v>
      </c>
      <c r="M55" s="18">
        <f t="shared" si="1"/>
        <v>0</v>
      </c>
      <c r="N55" s="18">
        <f t="shared" si="2"/>
        <v>0</v>
      </c>
      <c r="O55" s="19">
        <f t="shared" si="3"/>
        <v>0</v>
      </c>
    </row>
    <row r="56" spans="1:15" ht="15" customHeight="1" thickBot="1" x14ac:dyDescent="0.25">
      <c r="A56" s="73" t="s">
        <v>20</v>
      </c>
      <c r="B56" s="74"/>
      <c r="C56" s="74"/>
      <c r="D56" s="54"/>
      <c r="E56" s="20"/>
      <c r="F56" s="21"/>
      <c r="G56" s="21"/>
      <c r="H56" s="21"/>
      <c r="I56" s="31"/>
      <c r="J56" s="31"/>
      <c r="K56" s="31">
        <f>SUM(K2:K55)</f>
        <v>0</v>
      </c>
      <c r="L56" s="2">
        <f ca="1">SUM(INDIRECT(ADDRESS(1,COLUMN())&amp;":"&amp;ADDRESS(ROW()-1,COLUMN())))</f>
        <v>0</v>
      </c>
      <c r="M56" s="2">
        <f ca="1">SUM(INDIRECT(ADDRESS(1,COLUMN())&amp;":"&amp;ADDRESS(ROW()-1,COLUMN())))</f>
        <v>0</v>
      </c>
      <c r="N56" s="2">
        <f ca="1">SUM(INDIRECT(ADDRESS(1,COLUMN())&amp;":"&amp;ADDRESS(ROW()-1,COLUMN())))</f>
        <v>0</v>
      </c>
      <c r="O56" s="2">
        <f ca="1">SUM(INDIRECT(ADDRESS(1,COLUMN())&amp;":"&amp;ADDRESS(ROW()-1,COLUMN())))</f>
        <v>0</v>
      </c>
    </row>
  </sheetData>
  <mergeCells count="1">
    <mergeCell ref="A56:C56"/>
  </mergeCells>
  <hyperlinks>
    <hyperlink ref="C2" r:id="rId1" xr:uid="{AC419ECE-0221-46BF-9487-4060017F8ADE}"/>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hisWorkbook.refreshCategories">
                <anchor moveWithCells="1" sizeWithCells="1">
                  <from>
                    <xdr:col>15</xdr:col>
                    <xdr:colOff>104775</xdr:colOff>
                    <xdr:row>0</xdr:row>
                    <xdr:rowOff>38100</xdr:rowOff>
                  </from>
                  <to>
                    <xdr:col>18</xdr:col>
                    <xdr:colOff>466725</xdr:colOff>
                    <xdr:row>0</xdr:row>
                    <xdr:rowOff>333375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SplashPage</vt:lpstr>
      <vt:lpstr>Bus1</vt:lpstr>
      <vt:lpstr>Bus2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dc:creator>
  <cp:lastModifiedBy>Brian Caskey</cp:lastModifiedBy>
  <dcterms:created xsi:type="dcterms:W3CDTF">2015-06-05T18:17:20Z</dcterms:created>
  <dcterms:modified xsi:type="dcterms:W3CDTF">2020-04-21T18:59:10Z</dcterms:modified>
</cp:coreProperties>
</file>